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D:\projects\vba\"/>
    </mc:Choice>
  </mc:AlternateContent>
  <bookViews>
    <workbookView xWindow="-120" yWindow="-120" windowWidth="20736" windowHeight="11160" firstSheet="5" activeTab="5"/>
  </bookViews>
  <sheets>
    <sheet name="--Schedule Master--" sheetId="978" state="hidden" r:id="rId1"/>
    <sheet name="--Item Master--" sheetId="979" state="hidden" r:id="rId2"/>
    <sheet name="--Balance Sheet--" sheetId="980" state="hidden" r:id="rId3"/>
    <sheet name="--Budget Current Year--" sheetId="981" state="hidden" r:id="rId4"/>
    <sheet name="--Projection Current Year--" sheetId="982" state="hidden" r:id="rId5"/>
    <sheet name="Application Info" sheetId="172" r:id="rId6"/>
    <sheet name="--Achieved Forcast Template--" sheetId="874" state="hidden" r:id="rId7"/>
    <sheet name="--Company Master--" sheetId="867" state="hidden" r:id="rId8"/>
    <sheet name="--P&amp;L Last Year--" sheetId="872" state="hidden" r:id="rId9"/>
    <sheet name="--Analysis Template--" sheetId="873" state="hidden" r:id="rId10"/>
    <sheet name="--Index Template--" sheetId="590" state="veryHidden" r:id="rId11"/>
    <sheet name="--Date Sheet--" sheetId="416" state="veryHidden" r:id="rId12"/>
  </sheets>
  <functionGroups builtInGroupCount="18"/>
  <externalReferences>
    <externalReference r:id="rId13"/>
  </externalReferences>
  <definedNames>
    <definedName name="_xlnm._FilterDatabase" localSheetId="3" hidden="1">'--Budget Current Year--'!$A$9:$N$129</definedName>
    <definedName name="_xlnm._FilterDatabase" localSheetId="8" hidden="1">'--P&amp;L Last Year--'!$A$2:$N$113</definedName>
    <definedName name="_xlnm._FilterDatabase" localSheetId="0" hidden="1">'--Schedule Master--'!$B$1:$D$116</definedName>
  </definedNames>
  <calcPr calcId="191029"/>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13" i="873" l="1"/>
  <c r="S13" i="873"/>
  <c r="L13" i="873"/>
  <c r="K13" i="873"/>
  <c r="J13" i="873"/>
  <c r="I13" i="873"/>
  <c r="H13" i="873"/>
  <c r="G13" i="873"/>
  <c r="D13" i="873"/>
  <c r="T12" i="873"/>
  <c r="S12" i="873"/>
  <c r="L12" i="873"/>
  <c r="K12" i="873"/>
  <c r="J12" i="873"/>
  <c r="I12" i="873"/>
  <c r="H12" i="873"/>
  <c r="G12" i="873"/>
  <c r="D12" i="873"/>
  <c r="T11" i="873"/>
  <c r="S11" i="873"/>
  <c r="L11" i="873"/>
  <c r="K11" i="873"/>
  <c r="J11" i="873"/>
  <c r="I11" i="873"/>
  <c r="H11" i="873"/>
  <c r="G11" i="873"/>
  <c r="D11" i="873"/>
  <c r="T10" i="873"/>
  <c r="S10" i="873"/>
  <c r="L10" i="873"/>
  <c r="K10" i="873"/>
  <c r="J10" i="873"/>
  <c r="I10" i="873"/>
  <c r="H10" i="873"/>
  <c r="G10" i="873"/>
  <c r="D10" i="873"/>
  <c r="T9" i="873"/>
  <c r="S9" i="873"/>
  <c r="L9" i="873"/>
  <c r="K9" i="873"/>
  <c r="J9" i="873"/>
  <c r="I9" i="873"/>
  <c r="H9" i="873"/>
  <c r="G9" i="873"/>
  <c r="D9" i="873"/>
  <c r="T8" i="873"/>
  <c r="S8" i="873"/>
  <c r="L8" i="873"/>
  <c r="K8" i="873"/>
  <c r="J8" i="873"/>
  <c r="I8" i="873"/>
  <c r="H8" i="873"/>
  <c r="G8" i="873"/>
  <c r="D8" i="873"/>
  <c r="T7" i="873"/>
  <c r="S7" i="873"/>
  <c r="L7" i="873"/>
  <c r="K7" i="873"/>
  <c r="J7" i="873"/>
  <c r="I7" i="873"/>
  <c r="H7" i="873"/>
  <c r="G7" i="873"/>
  <c r="D7" i="873"/>
  <c r="T6" i="873"/>
  <c r="S6" i="873"/>
  <c r="L6" i="873"/>
  <c r="K6" i="873"/>
  <c r="J6" i="873"/>
  <c r="I6" i="873"/>
  <c r="H6" i="873"/>
  <c r="G6" i="873"/>
  <c r="D6" i="873"/>
  <c r="T5" i="873"/>
  <c r="S5" i="873"/>
  <c r="L5" i="873"/>
  <c r="K5" i="873"/>
  <c r="J5" i="873"/>
  <c r="I5" i="873"/>
  <c r="H5" i="873"/>
  <c r="G5" i="873"/>
  <c r="D5" i="873"/>
  <c r="T4" i="873"/>
  <c r="S4" i="873"/>
  <c r="L4" i="873"/>
  <c r="K4" i="873"/>
  <c r="J4" i="873"/>
  <c r="I4" i="873"/>
  <c r="H4" i="873"/>
  <c r="G4" i="873"/>
  <c r="D4" i="873"/>
  <c r="T3" i="873"/>
  <c r="S3" i="873"/>
  <c r="L3" i="873"/>
  <c r="K3" i="873"/>
  <c r="J3" i="873"/>
  <c r="I3" i="873"/>
  <c r="H3" i="873"/>
  <c r="G3" i="873"/>
  <c r="D3" i="873"/>
  <c r="T2" i="873"/>
  <c r="S2" i="873"/>
  <c r="L2" i="873"/>
  <c r="K2" i="873"/>
  <c r="J2" i="873"/>
  <c r="I2" i="873"/>
  <c r="H2" i="873"/>
  <c r="G2" i="873"/>
  <c r="D2" i="873"/>
  <c r="M113" i="872"/>
  <c r="L113" i="872"/>
  <c r="K113" i="872"/>
  <c r="J113" i="872"/>
  <c r="I113" i="872"/>
  <c r="H113" i="872"/>
  <c r="G113" i="872"/>
  <c r="F113" i="872"/>
  <c r="E113" i="872"/>
  <c r="D113" i="872"/>
  <c r="C113" i="872"/>
  <c r="B113" i="872"/>
  <c r="AI151" i="982"/>
  <c r="AH151" i="982"/>
  <c r="M151" i="982"/>
  <c r="L151" i="982"/>
  <c r="K151" i="982"/>
  <c r="J151" i="982"/>
  <c r="I151" i="982"/>
  <c r="H151" i="982"/>
  <c r="AI150" i="982"/>
  <c r="AH150" i="982"/>
  <c r="M150" i="982"/>
  <c r="K150" i="982"/>
  <c r="I150" i="982"/>
  <c r="AI149" i="982"/>
  <c r="AH149" i="982"/>
  <c r="M149" i="982"/>
  <c r="K149" i="982"/>
  <c r="I149" i="982"/>
  <c r="AI148" i="982"/>
  <c r="AH148" i="982"/>
  <c r="M148" i="982"/>
  <c r="K148" i="982"/>
  <c r="I148" i="982"/>
  <c r="AI147" i="982"/>
  <c r="AH147" i="982"/>
  <c r="M147" i="982"/>
  <c r="K147" i="982"/>
  <c r="I147" i="982"/>
  <c r="AI146" i="982"/>
  <c r="AH146" i="982"/>
  <c r="M146" i="982"/>
  <c r="K146" i="982"/>
  <c r="I146" i="982"/>
  <c r="AI145" i="982"/>
  <c r="AH145" i="982"/>
  <c r="M145" i="982"/>
  <c r="L145" i="982"/>
  <c r="K145" i="982"/>
  <c r="J145" i="982"/>
  <c r="I145" i="982"/>
  <c r="H145" i="982"/>
  <c r="AI144" i="982"/>
  <c r="AH144" i="982"/>
  <c r="M144" i="982"/>
  <c r="K144" i="982"/>
  <c r="I144" i="982"/>
  <c r="AI143" i="982"/>
  <c r="AH143" i="982"/>
  <c r="AI142" i="982"/>
  <c r="AH142" i="982"/>
  <c r="L142" i="982"/>
  <c r="J142" i="982"/>
  <c r="H142" i="982"/>
  <c r="AI141" i="982"/>
  <c r="AH141" i="982"/>
  <c r="M141" i="982"/>
  <c r="K141" i="982"/>
  <c r="I141" i="982"/>
  <c r="AI140" i="982"/>
  <c r="AH140" i="982"/>
  <c r="M140" i="982"/>
  <c r="L140" i="982"/>
  <c r="K140" i="982"/>
  <c r="J140" i="982"/>
  <c r="I140" i="982"/>
  <c r="H140" i="982"/>
  <c r="AI138" i="982"/>
  <c r="AH138" i="982"/>
  <c r="M138" i="982"/>
  <c r="L138" i="982"/>
  <c r="K138" i="982"/>
  <c r="J138" i="982"/>
  <c r="I138" i="982"/>
  <c r="H138" i="982"/>
  <c r="AI136" i="982"/>
  <c r="AH136" i="982"/>
  <c r="M136" i="982"/>
  <c r="L136" i="982"/>
  <c r="K136" i="982"/>
  <c r="J136" i="982"/>
  <c r="I136" i="982"/>
  <c r="H136" i="982"/>
  <c r="AI135" i="982"/>
  <c r="AH135" i="982"/>
  <c r="M135" i="982"/>
  <c r="K135" i="982"/>
  <c r="I135" i="982"/>
  <c r="AI134" i="982"/>
  <c r="AH134" i="982"/>
  <c r="M134" i="982"/>
  <c r="K134" i="982"/>
  <c r="H134" i="982"/>
  <c r="AI133" i="982"/>
  <c r="AH133" i="982"/>
  <c r="I133" i="982"/>
  <c r="AI132" i="982"/>
  <c r="AH132" i="982"/>
  <c r="M132" i="982"/>
  <c r="K132" i="982"/>
  <c r="I132" i="982"/>
  <c r="AI131" i="982"/>
  <c r="AH131" i="982"/>
  <c r="M131" i="982"/>
  <c r="K131" i="982"/>
  <c r="I131" i="982"/>
  <c r="AI130" i="982"/>
  <c r="AH130" i="982"/>
  <c r="L130" i="982"/>
  <c r="J130" i="982"/>
  <c r="I130" i="982"/>
  <c r="AI129" i="982"/>
  <c r="AH129" i="982"/>
  <c r="M129" i="982"/>
  <c r="K129" i="982"/>
  <c r="I129" i="982"/>
  <c r="AJ128" i="982"/>
  <c r="AH128" i="982"/>
  <c r="L128" i="982"/>
  <c r="J128" i="982"/>
  <c r="AH127" i="982"/>
  <c r="L127" i="982"/>
  <c r="J127" i="982"/>
  <c r="H127" i="982"/>
  <c r="AI126" i="982"/>
  <c r="AH126" i="982"/>
  <c r="M126" i="982"/>
  <c r="L126" i="982"/>
  <c r="K126" i="982"/>
  <c r="J126" i="982"/>
  <c r="I126" i="982"/>
  <c r="H126" i="982"/>
  <c r="AI125" i="982"/>
  <c r="AH125" i="982"/>
  <c r="M125" i="982"/>
  <c r="K125" i="982"/>
  <c r="I125" i="982"/>
  <c r="AI124" i="982"/>
  <c r="AH124" i="982"/>
  <c r="M124" i="982"/>
  <c r="K124" i="982"/>
  <c r="H124" i="982"/>
  <c r="AI123" i="982"/>
  <c r="AH123" i="982"/>
  <c r="M123" i="982"/>
  <c r="K123" i="982"/>
  <c r="AI122" i="982"/>
  <c r="AH122" i="982"/>
  <c r="M122" i="982"/>
  <c r="K122" i="982"/>
  <c r="I122" i="982"/>
  <c r="AI121" i="982"/>
  <c r="AH121" i="982"/>
  <c r="M121" i="982"/>
  <c r="K121" i="982"/>
  <c r="I121" i="982"/>
  <c r="AI120" i="982"/>
  <c r="AH120" i="982"/>
  <c r="M120" i="982"/>
  <c r="K120" i="982"/>
  <c r="I120" i="982"/>
  <c r="AI119" i="982"/>
  <c r="AH119" i="982"/>
  <c r="M119" i="982"/>
  <c r="K119" i="982"/>
  <c r="I119" i="982"/>
  <c r="AI118" i="982"/>
  <c r="AH118" i="982"/>
  <c r="L118" i="982"/>
  <c r="J118" i="982"/>
  <c r="H118" i="982"/>
  <c r="AI117" i="982"/>
  <c r="AH117" i="982"/>
  <c r="L117" i="982"/>
  <c r="J117" i="982"/>
  <c r="H117" i="982"/>
  <c r="AI116" i="982"/>
  <c r="AH116" i="982"/>
  <c r="M116" i="982"/>
  <c r="K116" i="982"/>
  <c r="I116" i="982"/>
  <c r="AI115" i="982"/>
  <c r="AH115" i="982"/>
  <c r="M115" i="982"/>
  <c r="K115" i="982"/>
  <c r="AI114" i="982"/>
  <c r="AH114" i="982"/>
  <c r="L114" i="982"/>
  <c r="J114" i="982"/>
  <c r="H114" i="982"/>
  <c r="AI113" i="982"/>
  <c r="AH113" i="982"/>
  <c r="L113" i="982"/>
  <c r="J113" i="982"/>
  <c r="H113" i="982"/>
  <c r="AI112" i="982"/>
  <c r="AH112" i="982"/>
  <c r="L112" i="982"/>
  <c r="J112" i="982"/>
  <c r="H112" i="982"/>
  <c r="AI111" i="982"/>
  <c r="AH111" i="982"/>
  <c r="M111" i="982"/>
  <c r="L111" i="982"/>
  <c r="K111" i="982"/>
  <c r="J111" i="982"/>
  <c r="I111" i="982"/>
  <c r="H111" i="982"/>
  <c r="AI110" i="982"/>
  <c r="AH110" i="982"/>
  <c r="M110" i="982"/>
  <c r="K110" i="982"/>
  <c r="AI109" i="982"/>
  <c r="AH109" i="982"/>
  <c r="L109" i="982"/>
  <c r="J109" i="982"/>
  <c r="H109" i="982"/>
  <c r="AI108" i="982"/>
  <c r="AH108" i="982"/>
  <c r="L108" i="982"/>
  <c r="J108" i="982"/>
  <c r="H108" i="982"/>
  <c r="AI107" i="982"/>
  <c r="AH107" i="982"/>
  <c r="M107" i="982"/>
  <c r="L107" i="982"/>
  <c r="K107" i="982"/>
  <c r="J107" i="982"/>
  <c r="I107" i="982"/>
  <c r="H107" i="982"/>
  <c r="AI106" i="982"/>
  <c r="AH106" i="982"/>
  <c r="M106" i="982"/>
  <c r="K106" i="982"/>
  <c r="I106" i="982"/>
  <c r="AI105" i="982"/>
  <c r="AH105" i="982"/>
  <c r="M105" i="982"/>
  <c r="K105" i="982"/>
  <c r="I105" i="982"/>
  <c r="AI104" i="982"/>
  <c r="AH104" i="982"/>
  <c r="L104" i="982"/>
  <c r="J104" i="982"/>
  <c r="H104" i="982"/>
  <c r="AI103" i="982"/>
  <c r="AH103" i="982"/>
  <c r="AI102" i="982"/>
  <c r="AH102" i="982"/>
  <c r="K102" i="982"/>
  <c r="I102" i="982"/>
  <c r="AI101" i="982"/>
  <c r="AH101" i="982"/>
  <c r="M101" i="982"/>
  <c r="K101" i="982"/>
  <c r="I101" i="982"/>
  <c r="AI100" i="982"/>
  <c r="AH100" i="982"/>
  <c r="M100" i="982"/>
  <c r="K100" i="982"/>
  <c r="I100" i="982"/>
  <c r="AI99" i="982"/>
  <c r="AH99" i="982"/>
  <c r="L99" i="982"/>
  <c r="J99" i="982"/>
  <c r="H99" i="982"/>
  <c r="AI98" i="982"/>
  <c r="AH98" i="982"/>
  <c r="L98" i="982"/>
  <c r="J98" i="982"/>
  <c r="H98" i="982"/>
  <c r="AI97" i="982"/>
  <c r="AH97" i="982"/>
  <c r="L97" i="982"/>
  <c r="J97" i="982"/>
  <c r="H97" i="982"/>
  <c r="AI96" i="982"/>
  <c r="AH96" i="982"/>
  <c r="L96" i="982"/>
  <c r="J96" i="982"/>
  <c r="H96" i="982"/>
  <c r="AI95" i="982"/>
  <c r="AH95" i="982"/>
  <c r="L95" i="982"/>
  <c r="J95" i="982"/>
  <c r="H95" i="982"/>
  <c r="AI94" i="982"/>
  <c r="AH94" i="982"/>
  <c r="L94" i="982"/>
  <c r="J94" i="982"/>
  <c r="H94" i="982"/>
  <c r="AI93" i="982"/>
  <c r="AH93" i="982"/>
  <c r="L93" i="982"/>
  <c r="J93" i="982"/>
  <c r="H93" i="982"/>
  <c r="AI92" i="982"/>
  <c r="AH92" i="982"/>
  <c r="M92" i="982"/>
  <c r="K92" i="982"/>
  <c r="I92" i="982"/>
  <c r="AI91" i="982"/>
  <c r="AH91" i="982"/>
  <c r="M91" i="982"/>
  <c r="K91" i="982"/>
  <c r="I91" i="982"/>
  <c r="AI90" i="982"/>
  <c r="AH90" i="982"/>
  <c r="M90" i="982"/>
  <c r="K90" i="982"/>
  <c r="I90" i="982"/>
  <c r="AI89" i="982"/>
  <c r="AH89" i="982"/>
  <c r="L89" i="982"/>
  <c r="J89" i="982"/>
  <c r="H89" i="982"/>
  <c r="AI88" i="982"/>
  <c r="AH88" i="982"/>
  <c r="M88" i="982"/>
  <c r="L88" i="982"/>
  <c r="K88" i="982"/>
  <c r="J88" i="982"/>
  <c r="I88" i="982"/>
  <c r="H88" i="982"/>
  <c r="AI87" i="982"/>
  <c r="AH87" i="982"/>
  <c r="M87" i="982"/>
  <c r="K87" i="982"/>
  <c r="I87" i="982"/>
  <c r="AI86" i="982"/>
  <c r="AH86" i="982"/>
  <c r="M86" i="982"/>
  <c r="K86" i="982"/>
  <c r="I86" i="982"/>
  <c r="AI85" i="982"/>
  <c r="AH85" i="982"/>
  <c r="M85" i="982"/>
  <c r="K85" i="982"/>
  <c r="I85" i="982"/>
  <c r="AI84" i="982"/>
  <c r="AH84" i="982"/>
  <c r="M84" i="982"/>
  <c r="L84" i="982"/>
  <c r="K84" i="982"/>
  <c r="J84" i="982"/>
  <c r="I84" i="982"/>
  <c r="H84" i="982"/>
  <c r="AI83" i="982"/>
  <c r="AH83" i="982"/>
  <c r="L83" i="982"/>
  <c r="J83" i="982"/>
  <c r="H83" i="982"/>
  <c r="AI82" i="982"/>
  <c r="AH82" i="982"/>
  <c r="L82" i="982"/>
  <c r="J82" i="982"/>
  <c r="H82" i="982"/>
  <c r="AI81" i="982"/>
  <c r="AH81" i="982"/>
  <c r="L81" i="982"/>
  <c r="J81" i="982"/>
  <c r="AI80" i="982"/>
  <c r="AH80" i="982"/>
  <c r="M80" i="982"/>
  <c r="K80" i="982"/>
  <c r="I80" i="982"/>
  <c r="AI79" i="982"/>
  <c r="AH79" i="982"/>
  <c r="M79" i="982"/>
  <c r="L79" i="982"/>
  <c r="K79" i="982"/>
  <c r="J79" i="982"/>
  <c r="I79" i="982"/>
  <c r="H79" i="982"/>
  <c r="AI78" i="982"/>
  <c r="AH78" i="982"/>
  <c r="L78" i="982"/>
  <c r="J78" i="982"/>
  <c r="H78" i="982"/>
  <c r="AI77" i="982"/>
  <c r="AH77" i="982"/>
  <c r="M77" i="982"/>
  <c r="K77" i="982"/>
  <c r="I77" i="982"/>
  <c r="AI76" i="982"/>
  <c r="AH76" i="982"/>
  <c r="L76" i="982"/>
  <c r="J76" i="982"/>
  <c r="H76" i="982"/>
  <c r="AI75" i="982"/>
  <c r="AH75" i="982"/>
  <c r="L75" i="982"/>
  <c r="J75" i="982"/>
  <c r="I75" i="982"/>
  <c r="AI74" i="982"/>
  <c r="AH74" i="982"/>
  <c r="M74" i="982"/>
  <c r="K74" i="982"/>
  <c r="I74" i="982"/>
  <c r="AI73" i="982"/>
  <c r="AH73" i="982"/>
  <c r="L73" i="982"/>
  <c r="J73" i="982"/>
  <c r="H73" i="982"/>
  <c r="AI72" i="982"/>
  <c r="AH72" i="982"/>
  <c r="L72" i="982"/>
  <c r="J72" i="982"/>
  <c r="AI71" i="982"/>
  <c r="AH71" i="982"/>
  <c r="AI70" i="982"/>
  <c r="AH70" i="982"/>
  <c r="M70" i="982"/>
  <c r="L70" i="982"/>
  <c r="K70" i="982"/>
  <c r="J70" i="982"/>
  <c r="I70" i="982"/>
  <c r="H70" i="982"/>
  <c r="AI69" i="982"/>
  <c r="AH69" i="982"/>
  <c r="M69" i="982"/>
  <c r="K69" i="982"/>
  <c r="I69" i="982"/>
  <c r="AI68" i="982"/>
  <c r="AH68" i="982"/>
  <c r="M68" i="982"/>
  <c r="K68" i="982"/>
  <c r="I68" i="982"/>
  <c r="AI67" i="982"/>
  <c r="AH67" i="982"/>
  <c r="M67" i="982"/>
  <c r="K67" i="982"/>
  <c r="I67" i="982"/>
  <c r="AI66" i="982"/>
  <c r="AH66" i="982"/>
  <c r="L66" i="982"/>
  <c r="J66" i="982"/>
  <c r="AI65" i="982"/>
  <c r="AH65" i="982"/>
  <c r="M65" i="982"/>
  <c r="L65" i="982"/>
  <c r="K65" i="982"/>
  <c r="J65" i="982"/>
  <c r="I65" i="982"/>
  <c r="H65" i="982"/>
  <c r="AI64" i="982"/>
  <c r="AH64" i="982"/>
  <c r="L64" i="982"/>
  <c r="J64" i="982"/>
  <c r="H64" i="982"/>
  <c r="AI63" i="982"/>
  <c r="AH63" i="982"/>
  <c r="M63" i="982"/>
  <c r="L63" i="982"/>
  <c r="K63" i="982"/>
  <c r="J63" i="982"/>
  <c r="I63" i="982"/>
  <c r="H63" i="982"/>
  <c r="AI62" i="982"/>
  <c r="AH62" i="982"/>
  <c r="M62" i="982"/>
  <c r="K62" i="982"/>
  <c r="I62" i="982"/>
  <c r="AI61" i="982"/>
  <c r="AH61" i="982"/>
  <c r="M61" i="982"/>
  <c r="K61" i="982"/>
  <c r="I61" i="982"/>
  <c r="A61" i="982"/>
  <c r="AI60" i="982"/>
  <c r="AH60" i="982"/>
  <c r="M60" i="982"/>
  <c r="L60" i="982"/>
  <c r="K60" i="982"/>
  <c r="J60" i="982"/>
  <c r="I60" i="982"/>
  <c r="AI59" i="982"/>
  <c r="AH59" i="982"/>
  <c r="M59" i="982"/>
  <c r="L59" i="982"/>
  <c r="K59" i="982"/>
  <c r="J59" i="982"/>
  <c r="I59" i="982"/>
  <c r="AI58" i="982"/>
  <c r="AH58" i="982"/>
  <c r="M58" i="982"/>
  <c r="L58" i="982"/>
  <c r="K58" i="982"/>
  <c r="J58" i="982"/>
  <c r="I58" i="982"/>
  <c r="H58" i="982"/>
  <c r="AI57" i="982"/>
  <c r="AH57" i="982"/>
  <c r="L57" i="982"/>
  <c r="J57" i="982"/>
  <c r="H57" i="982"/>
  <c r="AI56" i="982"/>
  <c r="AH56" i="982"/>
  <c r="L56" i="982"/>
  <c r="J56" i="982"/>
  <c r="H56" i="982"/>
  <c r="AI55" i="982"/>
  <c r="AH55" i="982"/>
  <c r="M55" i="982"/>
  <c r="L55" i="982"/>
  <c r="K55" i="982"/>
  <c r="J55" i="982"/>
  <c r="I55" i="982"/>
  <c r="AI54" i="982"/>
  <c r="AH54" i="982"/>
  <c r="L54" i="982"/>
  <c r="J54" i="982"/>
  <c r="H54" i="982"/>
  <c r="A54" i="982"/>
  <c r="AI53" i="982"/>
  <c r="AH53" i="982"/>
  <c r="M53" i="982"/>
  <c r="L53" i="982"/>
  <c r="K53" i="982"/>
  <c r="J53" i="982"/>
  <c r="I53" i="982"/>
  <c r="H53" i="982"/>
  <c r="A53" i="982"/>
  <c r="AI52" i="982"/>
  <c r="AH52" i="982"/>
  <c r="M52" i="982"/>
  <c r="L52" i="982"/>
  <c r="K52" i="982"/>
  <c r="J52" i="982"/>
  <c r="I52" i="982"/>
  <c r="H52" i="982"/>
  <c r="AI51" i="982"/>
  <c r="AH51" i="982"/>
  <c r="M51" i="982"/>
  <c r="L51" i="982"/>
  <c r="K51" i="982"/>
  <c r="J51" i="982"/>
  <c r="I51" i="982"/>
  <c r="H51" i="982"/>
  <c r="AI50" i="982"/>
  <c r="AH50" i="982"/>
  <c r="M50" i="982"/>
  <c r="L50" i="982"/>
  <c r="K50" i="982"/>
  <c r="J50" i="982"/>
  <c r="I50" i="982"/>
  <c r="H50" i="982"/>
  <c r="AI49" i="982"/>
  <c r="AH49" i="982"/>
  <c r="M49" i="982"/>
  <c r="L49" i="982"/>
  <c r="K49" i="982"/>
  <c r="J49" i="982"/>
  <c r="I49" i="982"/>
  <c r="H49" i="982"/>
  <c r="AI48" i="982"/>
  <c r="AH48" i="982"/>
  <c r="M48" i="982"/>
  <c r="L48" i="982"/>
  <c r="K48" i="982"/>
  <c r="J48" i="982"/>
  <c r="I48" i="982"/>
  <c r="H48" i="982"/>
  <c r="AI47" i="982"/>
  <c r="AH47" i="982"/>
  <c r="M47" i="982"/>
  <c r="L47" i="982"/>
  <c r="K47" i="982"/>
  <c r="J47" i="982"/>
  <c r="I47" i="982"/>
  <c r="H47" i="982"/>
  <c r="AI46" i="982"/>
  <c r="AH46" i="982"/>
  <c r="M46" i="982"/>
  <c r="L46" i="982"/>
  <c r="K46" i="982"/>
  <c r="J46" i="982"/>
  <c r="I46" i="982"/>
  <c r="H46" i="982"/>
  <c r="AI45" i="982"/>
  <c r="AH45" i="982"/>
  <c r="M45" i="982"/>
  <c r="L45" i="982"/>
  <c r="K45" i="982"/>
  <c r="J45" i="982"/>
  <c r="I45" i="982"/>
  <c r="H45" i="982"/>
  <c r="AI44" i="982"/>
  <c r="AH44" i="982"/>
  <c r="M44" i="982"/>
  <c r="L44" i="982"/>
  <c r="K44" i="982"/>
  <c r="J44" i="982"/>
  <c r="I44" i="982"/>
  <c r="H44" i="982"/>
  <c r="AI43" i="982"/>
  <c r="AH43" i="982"/>
  <c r="M43" i="982"/>
  <c r="L43" i="982"/>
  <c r="K43" i="982"/>
  <c r="J43" i="982"/>
  <c r="I43" i="982"/>
  <c r="H43" i="982"/>
  <c r="AI41" i="982"/>
  <c r="AH41" i="982"/>
  <c r="M41" i="982"/>
  <c r="L41" i="982"/>
  <c r="K41" i="982"/>
  <c r="J41" i="982"/>
  <c r="I41" i="982"/>
  <c r="H41" i="982"/>
  <c r="AI40" i="982"/>
  <c r="AH40" i="982"/>
  <c r="M40" i="982"/>
  <c r="L40" i="982"/>
  <c r="K40" i="982"/>
  <c r="J40" i="982"/>
  <c r="I40" i="982"/>
  <c r="H40" i="982"/>
  <c r="AI39" i="982"/>
  <c r="AH39" i="982"/>
  <c r="M39" i="982"/>
  <c r="L39" i="982"/>
  <c r="K39" i="982"/>
  <c r="J39" i="982"/>
  <c r="I39" i="982"/>
  <c r="H39" i="982"/>
  <c r="AH38" i="982"/>
  <c r="AH37" i="982"/>
  <c r="AH36" i="982"/>
  <c r="AI35" i="982"/>
  <c r="AH35" i="982"/>
  <c r="L35" i="982"/>
  <c r="J35" i="982"/>
  <c r="H35" i="982"/>
  <c r="AI34" i="982"/>
  <c r="AH34" i="982"/>
  <c r="L34" i="982"/>
  <c r="J34" i="982"/>
  <c r="H34" i="982"/>
  <c r="AI33" i="982"/>
  <c r="AH33" i="982"/>
  <c r="L33" i="982"/>
  <c r="J33" i="982"/>
  <c r="H33" i="982"/>
  <c r="AI32" i="982"/>
  <c r="AH32" i="982"/>
  <c r="L32" i="982"/>
  <c r="J32" i="982"/>
  <c r="H32" i="982"/>
  <c r="AI31" i="982"/>
  <c r="AH31" i="982"/>
  <c r="L31" i="982"/>
  <c r="J31" i="982"/>
  <c r="H31" i="982"/>
  <c r="AI30" i="982"/>
  <c r="AH30" i="982"/>
  <c r="L30" i="982"/>
  <c r="J30" i="982"/>
  <c r="H30" i="982"/>
  <c r="AI28" i="982"/>
  <c r="AH28" i="982"/>
  <c r="M28" i="982"/>
  <c r="L28" i="982"/>
  <c r="K28" i="982"/>
  <c r="J28" i="982"/>
  <c r="I28" i="982"/>
  <c r="H28" i="982"/>
  <c r="AH27" i="982"/>
  <c r="L27" i="982"/>
  <c r="J27" i="982"/>
  <c r="I27" i="982"/>
  <c r="H27" i="982"/>
  <c r="AI26" i="982"/>
  <c r="AH26" i="982"/>
  <c r="L26" i="982"/>
  <c r="J26" i="982"/>
  <c r="H26" i="982"/>
  <c r="AI25" i="982"/>
  <c r="AH25" i="982"/>
  <c r="L25" i="982"/>
  <c r="J25" i="982"/>
  <c r="H25" i="982"/>
  <c r="AI24" i="982"/>
  <c r="AH24" i="982"/>
  <c r="L24" i="982"/>
  <c r="J24" i="982"/>
  <c r="H24" i="982"/>
  <c r="AI23" i="982"/>
  <c r="AH23" i="982"/>
  <c r="L23" i="982"/>
  <c r="J23" i="982"/>
  <c r="H23" i="982"/>
  <c r="AI22" i="982"/>
  <c r="AH22" i="982"/>
  <c r="L22" i="982"/>
  <c r="J22" i="982"/>
  <c r="H22" i="982"/>
  <c r="AI21" i="982"/>
  <c r="AH21" i="982"/>
  <c r="L21" i="982"/>
  <c r="J21" i="982"/>
  <c r="H21" i="982"/>
  <c r="AI20" i="982"/>
  <c r="AH20" i="982"/>
  <c r="L20" i="982"/>
  <c r="J20" i="982"/>
  <c r="H20" i="982"/>
  <c r="AI19" i="982"/>
  <c r="AH19" i="982"/>
  <c r="L19" i="982"/>
  <c r="J19" i="982"/>
  <c r="H19" i="982"/>
  <c r="F14" i="982"/>
  <c r="D14" i="982"/>
  <c r="AH12" i="982"/>
  <c r="L12" i="982"/>
  <c r="J12" i="982"/>
  <c r="H12" i="982"/>
  <c r="F12" i="982"/>
  <c r="D12" i="982"/>
  <c r="AH11" i="982"/>
  <c r="L11" i="982"/>
  <c r="J11" i="982"/>
  <c r="H11" i="982"/>
  <c r="F11" i="982"/>
  <c r="D11" i="982"/>
  <c r="AH10" i="982"/>
  <c r="AH9" i="982"/>
  <c r="AH8" i="982"/>
  <c r="L8" i="982"/>
  <c r="J8" i="982"/>
  <c r="AH7" i="982"/>
  <c r="L7" i="982"/>
  <c r="J7" i="982"/>
  <c r="AH3" i="982"/>
  <c r="L3" i="982"/>
  <c r="J3" i="982"/>
  <c r="H3" i="982"/>
  <c r="F3" i="982"/>
  <c r="D3" i="982"/>
  <c r="AH2" i="982"/>
  <c r="N129" i="981"/>
  <c r="M129" i="981"/>
  <c r="L129" i="981"/>
  <c r="K129" i="981"/>
  <c r="J129" i="981"/>
  <c r="I129" i="981"/>
  <c r="H129" i="981"/>
  <c r="G129" i="981"/>
  <c r="F129" i="981"/>
  <c r="E129" i="981"/>
  <c r="D129" i="981"/>
  <c r="C129" i="981"/>
  <c r="B129" i="981"/>
  <c r="N128" i="981"/>
  <c r="N127" i="981"/>
  <c r="N126" i="981"/>
  <c r="N125" i="981"/>
  <c r="N124" i="981"/>
  <c r="N123" i="981"/>
  <c r="N122" i="981"/>
  <c r="N121" i="981"/>
  <c r="N120" i="981"/>
  <c r="N119" i="981"/>
  <c r="N118" i="981"/>
  <c r="N117" i="981"/>
  <c r="N116" i="981"/>
  <c r="N115" i="981"/>
  <c r="N114" i="981"/>
  <c r="N113" i="981"/>
  <c r="N112" i="981"/>
  <c r="N111" i="981"/>
  <c r="N110" i="981"/>
  <c r="N109" i="981"/>
  <c r="N108" i="981"/>
  <c r="N107" i="981"/>
  <c r="N106" i="981"/>
  <c r="N105" i="981"/>
  <c r="N104" i="981"/>
  <c r="N103" i="981"/>
  <c r="N102" i="981"/>
  <c r="N101" i="981"/>
  <c r="N100" i="981"/>
  <c r="N99" i="981"/>
  <c r="N98" i="981"/>
  <c r="N97" i="981"/>
  <c r="N96" i="981"/>
  <c r="N95" i="981"/>
  <c r="N94" i="981"/>
  <c r="N93" i="981"/>
  <c r="N92" i="981"/>
  <c r="N91" i="981"/>
  <c r="N90" i="981"/>
  <c r="N89" i="981"/>
  <c r="N88" i="981"/>
  <c r="N87" i="981"/>
  <c r="N86" i="981"/>
  <c r="N85" i="981"/>
  <c r="N84" i="981"/>
  <c r="N83" i="981"/>
  <c r="N82" i="981"/>
  <c r="N81" i="981"/>
  <c r="N80" i="981"/>
  <c r="N79" i="981"/>
  <c r="N78" i="981"/>
  <c r="N77" i="981"/>
  <c r="N76" i="981"/>
  <c r="N75" i="981"/>
  <c r="N74" i="981"/>
  <c r="N73" i="981"/>
  <c r="N72" i="981"/>
  <c r="N71" i="981"/>
  <c r="N70" i="981"/>
  <c r="N69" i="981"/>
  <c r="N68" i="981"/>
  <c r="N67" i="981"/>
  <c r="N66" i="981"/>
  <c r="N65" i="981"/>
  <c r="N64" i="981"/>
  <c r="N63" i="981"/>
  <c r="N62" i="981"/>
  <c r="N61" i="981"/>
  <c r="N60" i="981"/>
  <c r="N59" i="981"/>
  <c r="N58" i="981"/>
  <c r="N57" i="981"/>
  <c r="N56" i="981"/>
  <c r="N55" i="981"/>
  <c r="N54" i="981"/>
  <c r="N53" i="981"/>
  <c r="N52" i="981"/>
  <c r="N51" i="981"/>
  <c r="N50" i="981"/>
  <c r="N49" i="981"/>
  <c r="N48" i="981"/>
  <c r="N47" i="981"/>
  <c r="N46" i="981"/>
  <c r="N45" i="981"/>
  <c r="N44" i="981"/>
  <c r="N43" i="981"/>
  <c r="N42" i="981"/>
  <c r="N41" i="981"/>
  <c r="N40" i="981"/>
  <c r="N39" i="981"/>
  <c r="N38" i="981"/>
  <c r="N37" i="981"/>
  <c r="N36" i="981"/>
  <c r="N35" i="981"/>
  <c r="N34" i="981"/>
  <c r="N33" i="981"/>
  <c r="N32" i="981"/>
  <c r="N31" i="981"/>
  <c r="M31" i="981"/>
  <c r="L31" i="981"/>
  <c r="K31" i="981"/>
  <c r="J31" i="981"/>
  <c r="I31" i="981"/>
  <c r="H31" i="981"/>
  <c r="G31" i="981"/>
  <c r="F31" i="981"/>
  <c r="E31" i="981"/>
  <c r="D31" i="981"/>
  <c r="C31" i="981"/>
  <c r="B31" i="981"/>
  <c r="N30" i="981"/>
  <c r="M30" i="981"/>
  <c r="L30" i="981"/>
  <c r="K30" i="981"/>
  <c r="J30" i="981"/>
  <c r="I30" i="981"/>
  <c r="H30" i="981"/>
  <c r="G30" i="981"/>
  <c r="F30" i="981"/>
  <c r="E30" i="981"/>
  <c r="D30" i="981"/>
  <c r="C30" i="981"/>
  <c r="B30" i="981"/>
  <c r="N29" i="981"/>
  <c r="N28" i="981"/>
  <c r="N27" i="981"/>
  <c r="N26" i="981"/>
  <c r="N25" i="981"/>
  <c r="N24" i="981"/>
  <c r="N23" i="981"/>
  <c r="N22" i="981"/>
  <c r="M22" i="981"/>
  <c r="L22" i="981"/>
  <c r="K22" i="981"/>
  <c r="J22" i="981"/>
  <c r="I22" i="981"/>
  <c r="H22" i="981"/>
  <c r="G22" i="981"/>
  <c r="F22" i="981"/>
  <c r="E22" i="981"/>
  <c r="D22" i="981"/>
  <c r="C22" i="981"/>
  <c r="B22" i="981"/>
  <c r="N21" i="981"/>
  <c r="N20" i="981"/>
  <c r="N19" i="981"/>
  <c r="N18" i="981"/>
  <c r="N17" i="981"/>
  <c r="N16" i="981"/>
  <c r="N15" i="981"/>
  <c r="N14" i="981"/>
  <c r="N13" i="981"/>
  <c r="N12" i="981"/>
  <c r="N9" i="981"/>
  <c r="N8" i="981"/>
  <c r="N7" i="981"/>
  <c r="N6" i="981"/>
  <c r="N5" i="981"/>
  <c r="N4" i="981"/>
  <c r="D114" i="980"/>
  <c r="D113" i="980"/>
  <c r="D106" i="980"/>
  <c r="D105" i="980"/>
  <c r="D76" i="980"/>
  <c r="D74" i="980"/>
  <c r="D67" i="980"/>
  <c r="D26" i="980"/>
  <c r="D25" i="980"/>
  <c r="D7" i="980"/>
  <c r="E154" i="979"/>
  <c r="E153" i="979"/>
  <c r="E152" i="979"/>
  <c r="E151" i="979"/>
  <c r="E150" i="979"/>
  <c r="E149" i="979"/>
  <c r="E148" i="979"/>
  <c r="E147" i="979"/>
  <c r="E146" i="979"/>
  <c r="E145" i="979"/>
  <c r="D145" i="979"/>
  <c r="E144" i="979"/>
  <c r="D144" i="979"/>
  <c r="E143" i="979"/>
  <c r="D143" i="979"/>
  <c r="E142" i="979"/>
  <c r="E141" i="979"/>
  <c r="E140" i="979"/>
  <c r="E139" i="979"/>
  <c r="E138" i="979"/>
  <c r="E137" i="979"/>
  <c r="E136" i="979"/>
  <c r="E135" i="979"/>
  <c r="E133" i="979"/>
  <c r="D133" i="979"/>
  <c r="E132" i="979"/>
  <c r="E131" i="979"/>
  <c r="E130" i="979"/>
  <c r="E129" i="979"/>
  <c r="E128" i="979"/>
  <c r="E127" i="979"/>
  <c r="E126" i="979"/>
  <c r="E125" i="979"/>
  <c r="E124" i="979"/>
  <c r="E123" i="979"/>
  <c r="E122" i="979"/>
  <c r="E121" i="979"/>
  <c r="E120" i="979"/>
  <c r="E119" i="979"/>
  <c r="E118" i="979"/>
  <c r="E116" i="979"/>
  <c r="D116" i="979"/>
  <c r="E115" i="979"/>
  <c r="E114" i="979"/>
  <c r="E113" i="979"/>
  <c r="E112" i="979"/>
  <c r="E111" i="979"/>
  <c r="E109" i="979"/>
  <c r="D109" i="979"/>
  <c r="E108" i="979"/>
  <c r="E107" i="979"/>
  <c r="E106" i="979"/>
  <c r="E105" i="979"/>
  <c r="E104" i="979"/>
  <c r="E103" i="979"/>
  <c r="E102" i="979"/>
  <c r="E101" i="979"/>
  <c r="E100" i="979"/>
  <c r="E99" i="979"/>
  <c r="E98" i="979"/>
  <c r="E97" i="979"/>
  <c r="E96" i="979"/>
  <c r="E95" i="979"/>
  <c r="E94" i="979"/>
  <c r="E93" i="979"/>
  <c r="E92" i="979"/>
  <c r="E90" i="979"/>
  <c r="D90" i="979"/>
  <c r="E89" i="979"/>
  <c r="E88" i="979"/>
  <c r="E87" i="979"/>
  <c r="E85" i="979"/>
  <c r="D85" i="979"/>
  <c r="E84" i="979"/>
  <c r="E83" i="979"/>
  <c r="E82" i="979"/>
  <c r="E81" i="979"/>
  <c r="E80" i="979"/>
  <c r="E79" i="979"/>
  <c r="E77" i="979"/>
  <c r="D77" i="979"/>
  <c r="E76" i="979"/>
  <c r="E75" i="979"/>
  <c r="E74" i="979"/>
  <c r="E73" i="979"/>
  <c r="E72" i="979"/>
  <c r="E71" i="979"/>
  <c r="E70" i="979"/>
  <c r="E69" i="979"/>
  <c r="E68" i="979"/>
  <c r="E67" i="979"/>
  <c r="E66" i="979"/>
  <c r="E65" i="979"/>
  <c r="E63" i="979"/>
  <c r="D63" i="979"/>
  <c r="E62" i="979"/>
  <c r="E61" i="979"/>
  <c r="E60" i="979"/>
  <c r="E59" i="979"/>
  <c r="E58" i="979"/>
  <c r="E57" i="979"/>
  <c r="E56" i="979"/>
  <c r="E55" i="979"/>
  <c r="E53" i="979"/>
  <c r="D53" i="979"/>
  <c r="E52" i="979"/>
  <c r="E51" i="979"/>
  <c r="E50" i="979"/>
  <c r="E49" i="979"/>
  <c r="E48" i="979"/>
  <c r="E47" i="979"/>
  <c r="E46" i="979"/>
  <c r="E45" i="979"/>
  <c r="E44" i="979"/>
  <c r="E43" i="979"/>
  <c r="E42" i="979"/>
  <c r="E41" i="979"/>
  <c r="E39" i="979"/>
  <c r="D39" i="979"/>
  <c r="E38" i="979"/>
  <c r="D38" i="979"/>
  <c r="E37" i="979"/>
  <c r="E36" i="979"/>
  <c r="E35" i="979"/>
  <c r="E34" i="979"/>
  <c r="D34" i="979"/>
  <c r="E33" i="979"/>
  <c r="D33" i="979"/>
  <c r="E32" i="979"/>
  <c r="D32" i="979"/>
  <c r="E31" i="979"/>
  <c r="D31" i="979"/>
  <c r="E30" i="979"/>
  <c r="D30" i="979"/>
  <c r="E29" i="979"/>
  <c r="D29" i="979"/>
  <c r="E28" i="979"/>
  <c r="D28" i="979"/>
  <c r="E26" i="979"/>
  <c r="D26" i="979"/>
  <c r="E25" i="979"/>
  <c r="D25" i="979"/>
  <c r="E24" i="979"/>
  <c r="E23" i="979"/>
  <c r="E22" i="979"/>
  <c r="E21" i="979"/>
  <c r="E20" i="979"/>
  <c r="E19" i="979"/>
  <c r="E18" i="979"/>
  <c r="E16" i="979"/>
  <c r="D16" i="979"/>
  <c r="E15" i="979"/>
  <c r="E14" i="979"/>
  <c r="E13" i="979"/>
  <c r="E12" i="979"/>
  <c r="E11" i="979"/>
  <c r="D11" i="979"/>
  <c r="E10" i="979"/>
  <c r="E9" i="979"/>
  <c r="E8" i="979"/>
  <c r="E7" i="979"/>
  <c r="E6" i="979"/>
  <c r="E5" i="979"/>
</calcChain>
</file>

<file path=xl/comments1.xml><?xml version="1.0" encoding="utf-8"?>
<comments xmlns="http://schemas.openxmlformats.org/spreadsheetml/2006/main">
  <authors>
    <author/>
  </authors>
  <commentList>
    <comment ref="D61" authorId="0" shapeId="0">
      <text>
        <r>
          <rPr>
            <sz val="11"/>
            <color theme="1"/>
            <rFont val="Arial"/>
            <family val="2"/>
          </rPr>
          <t>Vijay Agrawal:
Training</t>
        </r>
      </text>
    </comment>
    <comment ref="F61" authorId="0" shapeId="0">
      <text>
        <r>
          <rPr>
            <sz val="11"/>
            <color theme="1"/>
            <rFont val="Arial"/>
            <family val="2"/>
          </rPr>
          <t>Vijay Agrawal:
Training</t>
        </r>
      </text>
    </comment>
    <comment ref="H61" authorId="0" shapeId="0">
      <text>
        <r>
          <rPr>
            <sz val="11"/>
            <color theme="1"/>
            <rFont val="Arial"/>
            <family val="2"/>
          </rPr>
          <t>Vijay Agrawal:
Training</t>
        </r>
      </text>
    </comment>
    <comment ref="J61" authorId="0" shapeId="0">
      <text>
        <r>
          <rPr>
            <sz val="11"/>
            <color theme="1"/>
            <rFont val="Arial"/>
            <family val="2"/>
          </rPr>
          <t xml:space="preserve">Vijay Agrawal:
Training
</t>
        </r>
      </text>
    </comment>
    <comment ref="L61" authorId="0" shapeId="0">
      <text>
        <r>
          <rPr>
            <sz val="11"/>
            <color theme="1"/>
            <rFont val="Arial"/>
            <family val="2"/>
          </rPr>
          <t xml:space="preserve">Vijay Agrawal:
Training
</t>
        </r>
      </text>
    </comment>
    <comment ref="N61" authorId="0" shapeId="0">
      <text>
        <r>
          <rPr>
            <sz val="11"/>
            <color theme="1"/>
            <rFont val="Arial"/>
            <family val="2"/>
          </rPr>
          <t xml:space="preserve">Vijay Agrawal:
Training
</t>
        </r>
      </text>
    </comment>
    <comment ref="P61" authorId="0" shapeId="0">
      <text>
        <r>
          <rPr>
            <sz val="11"/>
            <color theme="1"/>
            <rFont val="Arial"/>
            <family val="2"/>
          </rPr>
          <t xml:space="preserve">Vijay Agrawal:
Training
</t>
        </r>
      </text>
    </comment>
    <comment ref="R61" authorId="0" shapeId="0">
      <text>
        <r>
          <rPr>
            <sz val="11"/>
            <color theme="1"/>
            <rFont val="Arial"/>
            <family val="2"/>
          </rPr>
          <t xml:space="preserve">Vijay Agrawal:
Training
</t>
        </r>
      </text>
    </comment>
    <comment ref="T61" authorId="0" shapeId="0">
      <text>
        <r>
          <rPr>
            <sz val="11"/>
            <color theme="1"/>
            <rFont val="Arial"/>
            <family val="2"/>
          </rPr>
          <t xml:space="preserve">Vijay Agrawal:
Training
</t>
        </r>
      </text>
    </comment>
    <comment ref="V61" authorId="0" shapeId="0">
      <text>
        <r>
          <rPr>
            <sz val="11"/>
            <color theme="1"/>
            <rFont val="Arial"/>
            <family val="2"/>
          </rPr>
          <t xml:space="preserve">Vijay Agrawal:
Training
</t>
        </r>
      </text>
    </comment>
    <comment ref="X61" authorId="0" shapeId="0">
      <text>
        <r>
          <rPr>
            <sz val="11"/>
            <color theme="1"/>
            <rFont val="Arial"/>
            <family val="2"/>
          </rPr>
          <t xml:space="preserve">Vijay Agrawal:
Training
</t>
        </r>
      </text>
    </comment>
    <comment ref="Z61" authorId="0" shapeId="0">
      <text>
        <r>
          <rPr>
            <sz val="11"/>
            <color theme="1"/>
            <rFont val="Arial"/>
            <family val="2"/>
          </rPr>
          <t xml:space="preserve">Vijay Agrawal:
Training
</t>
        </r>
      </text>
    </comment>
    <comment ref="AB61" authorId="0" shapeId="0">
      <text>
        <r>
          <rPr>
            <sz val="11"/>
            <color theme="1"/>
            <rFont val="Arial"/>
            <family val="2"/>
          </rPr>
          <t xml:space="preserve">Vijay Agrawal:
Training
</t>
        </r>
      </text>
    </comment>
    <comment ref="AD61" authorId="0" shapeId="0">
      <text>
        <r>
          <rPr>
            <sz val="11"/>
            <color theme="1"/>
            <rFont val="Arial"/>
            <family val="2"/>
          </rPr>
          <t xml:space="preserve">Vijay Agrawal:
Training
</t>
        </r>
      </text>
    </comment>
    <comment ref="AF61" authorId="0" shapeId="0">
      <text>
        <r>
          <rPr>
            <sz val="11"/>
            <color theme="1"/>
            <rFont val="Arial"/>
            <family val="2"/>
          </rPr>
          <t xml:space="preserve">Vijay Agrawal:
Training
</t>
        </r>
      </text>
    </comment>
    <comment ref="D90" authorId="0" shapeId="0">
      <text>
        <r>
          <rPr>
            <sz val="11"/>
            <color theme="1"/>
            <rFont val="Arial"/>
            <family val="2"/>
          </rPr>
          <t>Wood Oven
, Overnight Cleaner, Hood Clean (quarterly), Ansul</t>
        </r>
      </text>
    </comment>
    <comment ref="F90" authorId="0" shapeId="0">
      <text>
        <r>
          <rPr>
            <sz val="11"/>
            <color theme="1"/>
            <rFont val="Arial"/>
            <family val="2"/>
          </rPr>
          <t>Wood Oven
, Overnight Cleaner, Hood Clean (quarterly), Ansul</t>
        </r>
      </text>
    </comment>
    <comment ref="H90" authorId="0" shapeId="0">
      <text>
        <r>
          <rPr>
            <sz val="11"/>
            <color theme="1"/>
            <rFont val="Arial"/>
            <family val="2"/>
          </rPr>
          <t>Wood Oven
, Overnight Cleaner, Hood Clean (quarterly), Ansul</t>
        </r>
      </text>
    </comment>
    <comment ref="J90" authorId="0" shapeId="0">
      <text>
        <r>
          <rPr>
            <sz val="11"/>
            <color theme="1"/>
            <rFont val="Arial"/>
            <family val="2"/>
          </rPr>
          <t xml:space="preserve">Wood Oven
, Overnight Cleaner, Hood Clean (quarterly), Ansul
</t>
        </r>
      </text>
    </comment>
    <comment ref="L90" authorId="0" shapeId="0">
      <text>
        <r>
          <rPr>
            <sz val="11"/>
            <color theme="1"/>
            <rFont val="Arial"/>
            <family val="2"/>
          </rPr>
          <t xml:space="preserve">Wood Oven
, Overnight Cleaner, Hood Clean (quarterly), Ansul
</t>
        </r>
      </text>
    </comment>
    <comment ref="N90" authorId="0" shapeId="0">
      <text>
        <r>
          <rPr>
            <sz val="11"/>
            <color theme="1"/>
            <rFont val="Arial"/>
            <family val="2"/>
          </rPr>
          <t xml:space="preserve">Wood Oven
, Overnight Cleaner, Hood Clean (quarterly), Ansul
</t>
        </r>
      </text>
    </comment>
    <comment ref="P90" authorId="0" shapeId="0">
      <text>
        <r>
          <rPr>
            <sz val="11"/>
            <color theme="1"/>
            <rFont val="Arial"/>
            <family val="2"/>
          </rPr>
          <t xml:space="preserve">Wood Oven
, Overnight Cleaner, Hood Clean (quarterly), Ansul
</t>
        </r>
      </text>
    </comment>
    <comment ref="R90" authorId="0" shapeId="0">
      <text>
        <r>
          <rPr>
            <sz val="11"/>
            <color theme="1"/>
            <rFont val="Arial"/>
            <family val="2"/>
          </rPr>
          <t xml:space="preserve">Wood Oven
, Overnight Cleaner, Hood Clean (quarterly), Ansul
</t>
        </r>
      </text>
    </comment>
    <comment ref="T90" authorId="0" shapeId="0">
      <text>
        <r>
          <rPr>
            <sz val="11"/>
            <color theme="1"/>
            <rFont val="Arial"/>
            <family val="2"/>
          </rPr>
          <t xml:space="preserve">Wood Oven
, Overnight Cleaner, Hood Clean (quarterly), Ansul
</t>
        </r>
      </text>
    </comment>
    <comment ref="V90" authorId="0" shapeId="0">
      <text>
        <r>
          <rPr>
            <sz val="11"/>
            <color theme="1"/>
            <rFont val="Arial"/>
            <family val="2"/>
          </rPr>
          <t xml:space="preserve">Wood Oven
, Overnight Cleaner, Hood Clean (quarterly), Ansul
</t>
        </r>
      </text>
    </comment>
    <comment ref="X90" authorId="0" shapeId="0">
      <text>
        <r>
          <rPr>
            <sz val="11"/>
            <color theme="1"/>
            <rFont val="Arial"/>
            <family val="2"/>
          </rPr>
          <t xml:space="preserve">Wood Oven
, Overnight Cleaner, Hood Clean (quarterly), Ansul
</t>
        </r>
      </text>
    </comment>
    <comment ref="Z90" authorId="0" shapeId="0">
      <text>
        <r>
          <rPr>
            <sz val="11"/>
            <color theme="1"/>
            <rFont val="Arial"/>
            <family val="2"/>
          </rPr>
          <t xml:space="preserve">Wood Oven
, Overnight Cleaner, Hood Clean (quarterly), Ansul
</t>
        </r>
      </text>
    </comment>
    <comment ref="AB90" authorId="0" shapeId="0">
      <text>
        <r>
          <rPr>
            <sz val="11"/>
            <color theme="1"/>
            <rFont val="Arial"/>
            <family val="2"/>
          </rPr>
          <t xml:space="preserve">Wood Oven
, Overnight Cleaner, Hood Clean (quarterly), Ansul
</t>
        </r>
      </text>
    </comment>
    <comment ref="AD90" authorId="0" shapeId="0">
      <text>
        <r>
          <rPr>
            <sz val="11"/>
            <color theme="1"/>
            <rFont val="Arial"/>
            <family val="2"/>
          </rPr>
          <t xml:space="preserve">Wood Oven
, Overnight Cleaner, Hood Clean (quarterly), Ansul
</t>
        </r>
      </text>
    </comment>
    <comment ref="AF90" authorId="0" shapeId="0">
      <text>
        <r>
          <rPr>
            <sz val="11"/>
            <color theme="1"/>
            <rFont val="Arial"/>
            <family val="2"/>
          </rPr>
          <t xml:space="preserve">Wood Oven
, Overnight Cleaner, Hood Clean (quarterly), Ansul
</t>
        </r>
      </text>
    </comment>
    <comment ref="D91" authorId="0" shapeId="0">
      <text>
        <r>
          <rPr>
            <sz val="11"/>
            <color theme="1"/>
            <rFont val="Arial"/>
            <family val="2"/>
          </rPr>
          <t>Vijay Agrawal:
Central Contract Services recharge</t>
        </r>
      </text>
    </comment>
    <comment ref="F91" authorId="0" shapeId="0">
      <text>
        <r>
          <rPr>
            <sz val="11"/>
            <color theme="1"/>
            <rFont val="Arial"/>
            <family val="2"/>
          </rPr>
          <t>Vijay Agrawal:
Central Contract Services recharge</t>
        </r>
      </text>
    </comment>
    <comment ref="H91" authorId="0" shapeId="0">
      <text>
        <r>
          <rPr>
            <sz val="11"/>
            <color theme="1"/>
            <rFont val="Arial"/>
            <family val="2"/>
          </rPr>
          <t>Vijay Agrawal:
Central Contract Services recharge</t>
        </r>
      </text>
    </comment>
    <comment ref="J91" authorId="0" shapeId="0">
      <text>
        <r>
          <rPr>
            <sz val="11"/>
            <color theme="1"/>
            <rFont val="Arial"/>
            <family val="2"/>
          </rPr>
          <t xml:space="preserve">Vijay Agrawal:
Central Contract Services recharge
</t>
        </r>
      </text>
    </comment>
    <comment ref="L91" authorId="0" shapeId="0">
      <text>
        <r>
          <rPr>
            <sz val="11"/>
            <color theme="1"/>
            <rFont val="Arial"/>
            <family val="2"/>
          </rPr>
          <t xml:space="preserve">Vijay Agrawal:
Central Contract Services recharge
</t>
        </r>
      </text>
    </comment>
    <comment ref="N91" authorId="0" shapeId="0">
      <text>
        <r>
          <rPr>
            <sz val="11"/>
            <color theme="1"/>
            <rFont val="Arial"/>
            <family val="2"/>
          </rPr>
          <t xml:space="preserve">Vijay Agrawal:
Central Contract Services recharge
</t>
        </r>
      </text>
    </comment>
    <comment ref="P91" authorId="0" shapeId="0">
      <text>
        <r>
          <rPr>
            <sz val="11"/>
            <color theme="1"/>
            <rFont val="Arial"/>
            <family val="2"/>
          </rPr>
          <t xml:space="preserve">Vijay Agrawal:
Central Contract Services recharge
</t>
        </r>
      </text>
    </comment>
    <comment ref="R91" authorId="0" shapeId="0">
      <text>
        <r>
          <rPr>
            <sz val="11"/>
            <color theme="1"/>
            <rFont val="Arial"/>
            <family val="2"/>
          </rPr>
          <t xml:space="preserve">Vijay Agrawal:
Central Contract Services recharge
</t>
        </r>
      </text>
    </comment>
    <comment ref="T91" authorId="0" shapeId="0">
      <text>
        <r>
          <rPr>
            <sz val="11"/>
            <color theme="1"/>
            <rFont val="Arial"/>
            <family val="2"/>
          </rPr>
          <t xml:space="preserve">Vijay Agrawal:
Central Contract Services recharge
</t>
        </r>
      </text>
    </comment>
    <comment ref="V91" authorId="0" shapeId="0">
      <text>
        <r>
          <rPr>
            <sz val="11"/>
            <color theme="1"/>
            <rFont val="Arial"/>
            <family val="2"/>
          </rPr>
          <t xml:space="preserve">Vijay Agrawal:
Central Contract Services recharge
</t>
        </r>
      </text>
    </comment>
    <comment ref="X91" authorId="0" shapeId="0">
      <text>
        <r>
          <rPr>
            <sz val="11"/>
            <color theme="1"/>
            <rFont val="Arial"/>
            <family val="2"/>
          </rPr>
          <t xml:space="preserve">Vijay Agrawal:
Central Contract Services recharge
</t>
        </r>
      </text>
    </comment>
    <comment ref="Z91" authorId="0" shapeId="0">
      <text>
        <r>
          <rPr>
            <sz val="11"/>
            <color theme="1"/>
            <rFont val="Arial"/>
            <family val="2"/>
          </rPr>
          <t xml:space="preserve">Vijay Agrawal:
Central Contract Services recharge
</t>
        </r>
      </text>
    </comment>
    <comment ref="AB91" authorId="0" shapeId="0">
      <text>
        <r>
          <rPr>
            <sz val="11"/>
            <color theme="1"/>
            <rFont val="Arial"/>
            <family val="2"/>
          </rPr>
          <t xml:space="preserve">Vijay Agrawal:
Central Contract Services recharge
</t>
        </r>
      </text>
    </comment>
    <comment ref="AD91" authorId="0" shapeId="0">
      <text>
        <r>
          <rPr>
            <sz val="11"/>
            <color theme="1"/>
            <rFont val="Arial"/>
            <family val="2"/>
          </rPr>
          <t xml:space="preserve">Vijay Agrawal:
Central Contract Services recharge
</t>
        </r>
      </text>
    </comment>
    <comment ref="AF91" authorId="0" shapeId="0">
      <text>
        <r>
          <rPr>
            <sz val="11"/>
            <color theme="1"/>
            <rFont val="Arial"/>
            <family val="2"/>
          </rPr>
          <t xml:space="preserve">Vijay Agrawal:
Central Contract Services recharge
</t>
        </r>
      </text>
    </comment>
    <comment ref="D131" authorId="0" shapeId="0">
      <text>
        <r>
          <rPr>
            <sz val="11"/>
            <color theme="1"/>
            <rFont val="Arial"/>
            <family val="2"/>
          </rPr>
          <t>Vijay Agrawal:
Kitchen Fuel</t>
        </r>
      </text>
    </comment>
    <comment ref="F131" authorId="0" shapeId="0">
      <text>
        <r>
          <rPr>
            <sz val="11"/>
            <color theme="1"/>
            <rFont val="Arial"/>
            <family val="2"/>
          </rPr>
          <t>Vijay Agrawal:
Kitchen Fuel</t>
        </r>
      </text>
    </comment>
    <comment ref="H131" authorId="0" shapeId="0">
      <text>
        <r>
          <rPr>
            <sz val="11"/>
            <color theme="1"/>
            <rFont val="Arial"/>
            <family val="2"/>
          </rPr>
          <t>Vijay Agrawal:
Kitchen Fuel</t>
        </r>
      </text>
    </comment>
    <comment ref="J131" authorId="0" shapeId="0">
      <text>
        <r>
          <rPr>
            <sz val="11"/>
            <color theme="1"/>
            <rFont val="Arial"/>
            <family val="2"/>
          </rPr>
          <t xml:space="preserve">Vijay Agrawal:
Kitchen Fuel
</t>
        </r>
      </text>
    </comment>
    <comment ref="L131" authorId="0" shapeId="0">
      <text>
        <r>
          <rPr>
            <sz val="11"/>
            <color theme="1"/>
            <rFont val="Arial"/>
            <family val="2"/>
          </rPr>
          <t xml:space="preserve">Vijay Agrawal:
Kitchen Fuel
</t>
        </r>
      </text>
    </comment>
    <comment ref="N131" authorId="0" shapeId="0">
      <text>
        <r>
          <rPr>
            <sz val="11"/>
            <color theme="1"/>
            <rFont val="Arial"/>
            <family val="2"/>
          </rPr>
          <t xml:space="preserve">Vijay Agrawal:
Kitchen Fuel
</t>
        </r>
      </text>
    </comment>
    <comment ref="P131" authorId="0" shapeId="0">
      <text>
        <r>
          <rPr>
            <sz val="11"/>
            <color theme="1"/>
            <rFont val="Arial"/>
            <family val="2"/>
          </rPr>
          <t xml:space="preserve">Vijay Agrawal:
Kitchen Fuel
</t>
        </r>
      </text>
    </comment>
    <comment ref="R131" authorId="0" shapeId="0">
      <text>
        <r>
          <rPr>
            <sz val="11"/>
            <color theme="1"/>
            <rFont val="Arial"/>
            <family val="2"/>
          </rPr>
          <t xml:space="preserve">Vijay Agrawal:
Kitchen Fuel
</t>
        </r>
      </text>
    </comment>
    <comment ref="T131" authorId="0" shapeId="0">
      <text>
        <r>
          <rPr>
            <sz val="11"/>
            <color theme="1"/>
            <rFont val="Arial"/>
            <family val="2"/>
          </rPr>
          <t xml:space="preserve">Vijay Agrawal:
Kitchen Fuel
</t>
        </r>
      </text>
    </comment>
    <comment ref="V131" authorId="0" shapeId="0">
      <text>
        <r>
          <rPr>
            <sz val="11"/>
            <color theme="1"/>
            <rFont val="Arial"/>
            <family val="2"/>
          </rPr>
          <t xml:space="preserve">Vijay Agrawal:
Kitchen Fuel
</t>
        </r>
      </text>
    </comment>
    <comment ref="X131" authorId="0" shapeId="0">
      <text>
        <r>
          <rPr>
            <sz val="11"/>
            <color theme="1"/>
            <rFont val="Arial"/>
            <family val="2"/>
          </rPr>
          <t xml:space="preserve">Vijay Agrawal:
Kitchen Fuel
</t>
        </r>
      </text>
    </comment>
    <comment ref="Z131" authorId="0" shapeId="0">
      <text>
        <r>
          <rPr>
            <sz val="11"/>
            <color theme="1"/>
            <rFont val="Arial"/>
            <family val="2"/>
          </rPr>
          <t xml:space="preserve">Vijay Agrawal:
Kitchen Fuel
</t>
        </r>
      </text>
    </comment>
    <comment ref="AB131" authorId="0" shapeId="0">
      <text>
        <r>
          <rPr>
            <sz val="11"/>
            <color theme="1"/>
            <rFont val="Arial"/>
            <family val="2"/>
          </rPr>
          <t xml:space="preserve">Vijay Agrawal:
Kitchen Fuel
</t>
        </r>
      </text>
    </comment>
    <comment ref="AD131" authorId="0" shapeId="0">
      <text>
        <r>
          <rPr>
            <sz val="11"/>
            <color theme="1"/>
            <rFont val="Arial"/>
            <family val="2"/>
          </rPr>
          <t xml:space="preserve">Vijay Agrawal:
Kitchen Fuel
</t>
        </r>
      </text>
    </comment>
    <comment ref="AF131" authorId="0" shapeId="0">
      <text>
        <r>
          <rPr>
            <sz val="11"/>
            <color theme="1"/>
            <rFont val="Arial"/>
            <family val="2"/>
          </rPr>
          <t xml:space="preserve">Vijay Agrawal:
Kitchen Fuel
</t>
        </r>
      </text>
    </comment>
  </commentList>
</comments>
</file>

<file path=xl/sharedStrings.xml><?xml version="1.0" encoding="utf-8"?>
<sst xmlns="http://schemas.openxmlformats.org/spreadsheetml/2006/main" count="2324" uniqueCount="806">
  <si>
    <r>
      <rPr>
        <b/>
        <sz val="72"/>
        <color theme="5" tint="-0.249977111117893"/>
        <rFont val="Calibri"/>
        <family val="2"/>
        <scheme val="minor"/>
      </rPr>
      <t>CTRL</t>
    </r>
    <r>
      <rPr>
        <b/>
        <sz val="72"/>
        <color theme="1"/>
        <rFont val="Calibri"/>
        <family val="2"/>
        <scheme val="minor"/>
      </rPr>
      <t xml:space="preserve"> </t>
    </r>
    <r>
      <rPr>
        <b/>
        <sz val="72"/>
        <color rgb="FFFFC000"/>
        <rFont val="Calibri"/>
        <family val="2"/>
        <scheme val="minor"/>
      </rPr>
      <t>+</t>
    </r>
    <r>
      <rPr>
        <b/>
        <sz val="72"/>
        <color theme="1"/>
        <rFont val="Calibri"/>
        <family val="2"/>
        <scheme val="minor"/>
      </rPr>
      <t xml:space="preserve"> </t>
    </r>
    <r>
      <rPr>
        <b/>
        <sz val="72"/>
        <color theme="8" tint="-0.249977111117893"/>
        <rFont val="Calibri"/>
        <family val="2"/>
        <scheme val="minor"/>
      </rPr>
      <t>SHIFT</t>
    </r>
    <r>
      <rPr>
        <b/>
        <sz val="72"/>
        <color theme="1"/>
        <rFont val="Calibri"/>
        <family val="2"/>
        <scheme val="minor"/>
      </rPr>
      <t xml:space="preserve"> </t>
    </r>
    <r>
      <rPr>
        <b/>
        <sz val="72"/>
        <color rgb="FFFFC000"/>
        <rFont val="Calibri"/>
        <family val="2"/>
        <scheme val="minor"/>
      </rPr>
      <t>+</t>
    </r>
    <r>
      <rPr>
        <b/>
        <sz val="72"/>
        <color theme="1"/>
        <rFont val="Calibri"/>
        <family val="2"/>
        <scheme val="minor"/>
      </rPr>
      <t xml:space="preserve"> </t>
    </r>
    <r>
      <rPr>
        <b/>
        <sz val="72"/>
        <color rgb="FF00B050"/>
        <rFont val="Calibri"/>
        <family val="2"/>
        <scheme val="minor"/>
      </rPr>
      <t>M</t>
    </r>
  </si>
  <si>
    <t>Cost of Sales - Food</t>
  </si>
  <si>
    <t>NET PROFIT/(LOSS)</t>
  </si>
  <si>
    <t>TOTAL OTHER STAFF COST</t>
  </si>
  <si>
    <t>TOTAL OCCUPANCY</t>
  </si>
  <si>
    <t>January</t>
  </si>
  <si>
    <t>February</t>
  </si>
  <si>
    <t>March</t>
  </si>
  <si>
    <t>April</t>
  </si>
  <si>
    <t>May</t>
  </si>
  <si>
    <t>June</t>
  </si>
  <si>
    <t>July</t>
  </si>
  <si>
    <t>August</t>
  </si>
  <si>
    <t>September</t>
  </si>
  <si>
    <t>October</t>
  </si>
  <si>
    <t>November</t>
  </si>
  <si>
    <t>December</t>
  </si>
  <si>
    <t>HOME</t>
  </si>
  <si>
    <t>I N D E X</t>
  </si>
  <si>
    <r>
      <t>New York</t>
    </r>
    <r>
      <rPr>
        <b/>
        <sz val="11"/>
        <color rgb="FF0000FF"/>
        <rFont val="Calibri"/>
        <family val="2"/>
        <scheme val="minor"/>
      </rPr>
      <t xml:space="preserve">                                  </t>
    </r>
    <r>
      <rPr>
        <b/>
        <u/>
        <sz val="11"/>
        <color rgb="FF0000FF"/>
        <rFont val="Calibri"/>
        <family val="2"/>
        <scheme val="minor"/>
      </rPr>
      <t>Miami</t>
    </r>
    <r>
      <rPr>
        <b/>
        <sz val="11"/>
        <color rgb="FF0000FF"/>
        <rFont val="Calibri"/>
        <family val="2"/>
        <scheme val="minor"/>
      </rPr>
      <t xml:space="preserve">                                        </t>
    </r>
    <r>
      <rPr>
        <b/>
        <u/>
        <sz val="11"/>
        <color rgb="FF0000FF"/>
        <rFont val="Calibri"/>
        <family val="2"/>
        <scheme val="minor"/>
      </rPr>
      <t>London</t>
    </r>
  </si>
  <si>
    <t>19 West 36th Street        175 SW 7 St STE 1900             42 Sydenham Rd.</t>
  </si>
  <si>
    <t>NY 10018                                 FL 33130                                    SE26 5QF</t>
  </si>
  <si>
    <t>Cover Page</t>
  </si>
  <si>
    <t>Total Revenue</t>
  </si>
  <si>
    <t>Cumulative Revenue</t>
  </si>
  <si>
    <t>Covers</t>
  </si>
  <si>
    <t>Checks</t>
  </si>
  <si>
    <t>Average  revenue per cover</t>
  </si>
  <si>
    <t>Average Revenue per cover</t>
  </si>
  <si>
    <t>Cum Cover</t>
  </si>
  <si>
    <t>Cum Check</t>
  </si>
  <si>
    <t>Avg Cover per Revenue - c</t>
  </si>
  <si>
    <t>Avg Check per Revenue - c</t>
  </si>
  <si>
    <t>Average</t>
  </si>
  <si>
    <t>CUM Average - Total</t>
  </si>
  <si>
    <t>Period</t>
  </si>
  <si>
    <t>Total Staff Cost</t>
  </si>
  <si>
    <t>Particulars</t>
  </si>
  <si>
    <t>Total Occupancy</t>
  </si>
  <si>
    <t>Total Operating Expenses</t>
  </si>
  <si>
    <t>Company Name</t>
  </si>
  <si>
    <t>Type</t>
  </si>
  <si>
    <t>Start Date</t>
  </si>
  <si>
    <t>End Date</t>
  </si>
  <si>
    <t>4-4-5</t>
  </si>
  <si>
    <t>Month</t>
  </si>
  <si>
    <t>Account Number</t>
  </si>
  <si>
    <t>Sub Header</t>
  </si>
  <si>
    <t>PL Schedule</t>
  </si>
  <si>
    <t>300-010 · Revenue - Food</t>
  </si>
  <si>
    <t>300-040 · Revenue - Liquor</t>
  </si>
  <si>
    <t>300-050 · Revenue - Beer</t>
  </si>
  <si>
    <t>410-000 · Cost of Sales - Food</t>
  </si>
  <si>
    <t>420-000 · Cost of Sales - Wine</t>
  </si>
  <si>
    <t>425-000 · Cost of Sales - Liquor</t>
  </si>
  <si>
    <t>430-000 · Cost of Sales - Beer</t>
  </si>
  <si>
    <t>490-000 · Use Tax on Comps</t>
  </si>
  <si>
    <t>600-010 · Wages - F.O.H. Salaries</t>
  </si>
  <si>
    <t>600-500 · Employer Taxes</t>
  </si>
  <si>
    <t>605-010 · Staff Workman's Comp</t>
  </si>
  <si>
    <t>605-030 · Staff Recruitment</t>
  </si>
  <si>
    <t>605-050 · Staff Uniforms</t>
  </si>
  <si>
    <t>610-020 · Public Relations</t>
  </si>
  <si>
    <t>650-110 · Office Supplies/Stationery</t>
  </si>
  <si>
    <t>610-010 · Advertising</t>
  </si>
  <si>
    <t>660-010 · Legal Fees</t>
  </si>
  <si>
    <t>660-030 · Tax Fees</t>
  </si>
  <si>
    <t>660-080 · Bank Charges</t>
  </si>
  <si>
    <t>605-060 · Staff Meals</t>
  </si>
  <si>
    <t>610-060 · Event Expenses</t>
  </si>
  <si>
    <t>610-090 · Subscriptions</t>
  </si>
  <si>
    <t>610-110 · Complimentary Cost</t>
  </si>
  <si>
    <t>620-020 · Entertainment Meals</t>
  </si>
  <si>
    <t>640-010 · Telephone</t>
  </si>
  <si>
    <t>640-040 · Internet/Email</t>
  </si>
  <si>
    <t>650-010 · Linen &amp; Laundry</t>
  </si>
  <si>
    <t>650-022 · Pest Control</t>
  </si>
  <si>
    <t>650-130 · IT Cost</t>
  </si>
  <si>
    <t>650-140 · Equipment Rental</t>
  </si>
  <si>
    <t>655-030 · Repairs - General</t>
  </si>
  <si>
    <t>655-010 · Repairs - Building</t>
  </si>
  <si>
    <t>660-040 · Professional Fees</t>
  </si>
  <si>
    <t>660-050 · Accountancy Charges</t>
  </si>
  <si>
    <t>660-060 · Payroll Processing Charges</t>
  </si>
  <si>
    <t>660-070 · Credit Card Charges</t>
  </si>
  <si>
    <t>660-160 · Licenses and Permits</t>
  </si>
  <si>
    <t>670-010 · Rent</t>
  </si>
  <si>
    <t>670-070 · Storage Rent</t>
  </si>
  <si>
    <t>670-040 · Electricity</t>
  </si>
  <si>
    <t>670-050 · Gas</t>
  </si>
  <si>
    <t>670-060 · Water</t>
  </si>
  <si>
    <t>670-080 · Insurance</t>
  </si>
  <si>
    <t>800-020 · Other Income</t>
  </si>
  <si>
    <t>660-090 · Interest Paid on Loans</t>
  </si>
  <si>
    <t>700-000 · P &amp; L Depreciation</t>
  </si>
  <si>
    <t>710-000 · P &amp; L Amortization</t>
  </si>
  <si>
    <t>605-090 · Staff First Aid</t>
  </si>
  <si>
    <t>900-000 · Ask My Accountant</t>
  </si>
  <si>
    <t>910-000 · Other Expenses</t>
  </si>
  <si>
    <t>Main Group</t>
  </si>
  <si>
    <t>Report GL DisplayName</t>
  </si>
  <si>
    <t>QB GL Name</t>
  </si>
  <si>
    <t>Percentage Formula</t>
  </si>
  <si>
    <t>Group</t>
  </si>
  <si>
    <t xml:space="preserve"> </t>
  </si>
  <si>
    <t>Covers/Checks</t>
  </si>
  <si>
    <t>Header</t>
  </si>
  <si>
    <t>REVENUE</t>
  </si>
  <si>
    <t>Revenue - Food</t>
  </si>
  <si>
    <t>Revenue - Liquor</t>
  </si>
  <si>
    <t>Revenue - Beer</t>
  </si>
  <si>
    <t>Revenue - Beverages</t>
  </si>
  <si>
    <t>TOTAL REVENUE</t>
  </si>
  <si>
    <t>COST OF GOODS SOLD</t>
  </si>
  <si>
    <t>Cost of Sales - Wines</t>
  </si>
  <si>
    <t>Cost of Sales - Liquor</t>
  </si>
  <si>
    <t>Cost of Sales - Beer</t>
  </si>
  <si>
    <t>Cost of Sales - Beverages</t>
  </si>
  <si>
    <t>TOTAL COST OF GOODS SOLD</t>
  </si>
  <si>
    <t>GROSS PROFIT</t>
  </si>
  <si>
    <t>Gross Profit - Food</t>
  </si>
  <si>
    <t>Gross Profit - Wines</t>
  </si>
  <si>
    <t>Gross Profit - Liquor</t>
  </si>
  <si>
    <t>Gross Profit - Beer</t>
  </si>
  <si>
    <t>Gross Profit - Beverages</t>
  </si>
  <si>
    <t>TOTAL GROSS PROFIT</t>
  </si>
  <si>
    <t>STAFF COST</t>
  </si>
  <si>
    <t>Employer Taxes</t>
  </si>
  <si>
    <t>Staff Meals</t>
  </si>
  <si>
    <t>TOTAL STAFF COST</t>
  </si>
  <si>
    <t>OTHER STAFF COST</t>
  </si>
  <si>
    <t>Staff Workman's Comp</t>
  </si>
  <si>
    <t>Staff Recruitment</t>
  </si>
  <si>
    <t>Staff Uniforms</t>
  </si>
  <si>
    <t>Entertainment Meals</t>
  </si>
  <si>
    <t>Staff First Aid</t>
  </si>
  <si>
    <t>Public Relations</t>
  </si>
  <si>
    <t>Branding &amp; Design</t>
  </si>
  <si>
    <t>Event Expenses</t>
  </si>
  <si>
    <t>Complimentary Cost</t>
  </si>
  <si>
    <t>IT Cost</t>
  </si>
  <si>
    <t>Subscriptions</t>
  </si>
  <si>
    <t>Airfare</t>
  </si>
  <si>
    <t>SUPPLIES</t>
  </si>
  <si>
    <t>Linen &amp; Laundry</t>
  </si>
  <si>
    <t>Chinaware</t>
  </si>
  <si>
    <t>Flatware</t>
  </si>
  <si>
    <t>Barware</t>
  </si>
  <si>
    <t>Music</t>
  </si>
  <si>
    <t>Office Supplies/Stationery</t>
  </si>
  <si>
    <t>Menus</t>
  </si>
  <si>
    <t>Equipment Rental</t>
  </si>
  <si>
    <t>TOTAL SUPPLIES</t>
  </si>
  <si>
    <t>REPAIRS &amp; MAINTENANCE</t>
  </si>
  <si>
    <t>Repairs - General</t>
  </si>
  <si>
    <t>Repairs - Building</t>
  </si>
  <si>
    <t>TOTAL REPAIRS &amp; MAINTENANCE</t>
  </si>
  <si>
    <t>Telephone</t>
  </si>
  <si>
    <t>Internet/Email</t>
  </si>
  <si>
    <t>Postage/Courier</t>
  </si>
  <si>
    <t>Legal Fees</t>
  </si>
  <si>
    <t>Professional Fees</t>
  </si>
  <si>
    <t>Payroll Processing Charges</t>
  </si>
  <si>
    <t>Bank Charges</t>
  </si>
  <si>
    <t>Penalties</t>
  </si>
  <si>
    <t>Tax Fees</t>
  </si>
  <si>
    <t>Licenses and Permits</t>
  </si>
  <si>
    <t>Use Tax on Comps</t>
  </si>
  <si>
    <t>Insurance</t>
  </si>
  <si>
    <t>Advertising</t>
  </si>
  <si>
    <t>OCCUPANCY</t>
  </si>
  <si>
    <t>Pest Control</t>
  </si>
  <si>
    <t>Rent</t>
  </si>
  <si>
    <t>Electricity</t>
  </si>
  <si>
    <t>Gas</t>
  </si>
  <si>
    <t>Water</t>
  </si>
  <si>
    <t>Storage Rent</t>
  </si>
  <si>
    <t>OPERATING EXPENSES</t>
  </si>
  <si>
    <t>TOTAL OPERATING EXPENSES</t>
  </si>
  <si>
    <t>EBITDA</t>
  </si>
  <si>
    <t>PROFIT BEFORE TAX &amp; DEPRECIATION</t>
  </si>
  <si>
    <t>Other Income</t>
  </si>
  <si>
    <t>Other Expenses</t>
  </si>
  <si>
    <t>910-000 · Other Expenses||+||900-000 · Ask My Accountant</t>
  </si>
  <si>
    <t>P &amp; L Depreciation</t>
  </si>
  <si>
    <t>P &amp; L Amortization</t>
  </si>
  <si>
    <r>
      <t>NET PROFIT/</t>
    </r>
    <r>
      <rPr>
        <b/>
        <sz val="11"/>
        <color rgb="FFFF0000"/>
        <rFont val="Calibri"/>
        <family val="2"/>
        <scheme val="minor"/>
      </rPr>
      <t>(LOSS)</t>
    </r>
  </si>
  <si>
    <t>PROFIT BEFORE TAX &amp; DEPRECIATION||-||P &amp; L Depreciation||-||P &amp; L Amortization</t>
  </si>
  <si>
    <t>ASSETS</t>
  </si>
  <si>
    <t>CURRENT ASSETS</t>
  </si>
  <si>
    <t>BANK/CASH</t>
  </si>
  <si>
    <t>Total BANK/CASH</t>
  </si>
  <si>
    <t>OTHER CURRENT ASSETS</t>
  </si>
  <si>
    <t>Accounts receivable</t>
  </si>
  <si>
    <t>Inventory</t>
  </si>
  <si>
    <t>Total 120-000 · Inventory</t>
  </si>
  <si>
    <t>Prepaid Expenses</t>
  </si>
  <si>
    <t>Total 130-000 · Prepaid Expenses</t>
  </si>
  <si>
    <t>Staff Loans/Salary Advances</t>
  </si>
  <si>
    <t>Deposits</t>
  </si>
  <si>
    <t>Total 135-020 · Deposits</t>
  </si>
  <si>
    <t>Petty Cash Control</t>
  </si>
  <si>
    <t>TOTAL OTHER CURRENT ASSETS</t>
  </si>
  <si>
    <t>TOTAL CURRENT ASSETS</t>
  </si>
  <si>
    <t>FIXED ASSETS</t>
  </si>
  <si>
    <t>Total 150-000 · Fees</t>
  </si>
  <si>
    <t>Leasehold Improvements</t>
  </si>
  <si>
    <t>Furniture and Fixtures</t>
  </si>
  <si>
    <t>Intangible Assets</t>
  </si>
  <si>
    <t>Accumulated Depreciation</t>
  </si>
  <si>
    <t>Total 160-000 · Intangible Assets</t>
  </si>
  <si>
    <t>TOTAL FIXED ASSETS</t>
  </si>
  <si>
    <t>Pre-Opening</t>
  </si>
  <si>
    <t>TOTAL ASSETS</t>
  </si>
  <si>
    <t>LIABILITIES AND EQUITY</t>
  </si>
  <si>
    <t>LIABILITIES</t>
  </si>
  <si>
    <t>Current Liabilities</t>
  </si>
  <si>
    <t>Accounts Payable - USD</t>
  </si>
  <si>
    <t>Accrued Liabilities</t>
  </si>
  <si>
    <t>Total 210-000 · Accrued Liabilities</t>
  </si>
  <si>
    <t>Net Wages Payable</t>
  </si>
  <si>
    <t>215-010 · Net Wages Payable</t>
  </si>
  <si>
    <t>Sales Tax Payable</t>
  </si>
  <si>
    <t>220-020 · Sales Tax Payable</t>
  </si>
  <si>
    <t>Total Current Liabilities</t>
  </si>
  <si>
    <t>TOTAL LIABILITIES</t>
  </si>
  <si>
    <t>EQUITY</t>
  </si>
  <si>
    <t>Member's Contributions</t>
  </si>
  <si>
    <t>Total 280-000 · Member's Contributions</t>
  </si>
  <si>
    <t>TOTAL MEMBERS CONTRIBUTIONS</t>
  </si>
  <si>
    <t>Retained Earnings / (Deficit)</t>
  </si>
  <si>
    <t>32000 · Retained Earnings</t>
  </si>
  <si>
    <t>P &amp; L Current Year / (Deficit)</t>
  </si>
  <si>
    <t>Net Income</t>
  </si>
  <si>
    <t>TOTAL EQUITY</t>
  </si>
  <si>
    <t>Total LIABILITIES AND EQUITY</t>
  </si>
  <si>
    <t>TOTAL</t>
  </si>
  <si>
    <t>Revenue</t>
  </si>
  <si>
    <t>Credit Card Charges</t>
  </si>
  <si>
    <t>Accountancy Charges</t>
  </si>
  <si>
    <t>Total Other Staff Cost</t>
  </si>
  <si>
    <t>Total Supplies</t>
  </si>
  <si>
    <t>Total Repairs &amp; Maintenance</t>
  </si>
  <si>
    <t>Cost Of sales - Food</t>
  </si>
  <si>
    <t>Cost Of sales - Beverages</t>
  </si>
  <si>
    <t>SUNDAY AT HOXTON</t>
  </si>
  <si>
    <t>300-020 · Revenue - Tea/Coffee</t>
  </si>
  <si>
    <t>300-030 · Revenue - Wines</t>
  </si>
  <si>
    <t>300-060 · Revenue - Juice</t>
  </si>
  <si>
    <t>300-080 · Revenue - Retail</t>
  </si>
  <si>
    <t>300-090 · Revenue - Admin Fees</t>
  </si>
  <si>
    <t>300-100 · Revenue - Room Rental</t>
  </si>
  <si>
    <t>415-000 · Cost of Sales - Tea/Coffee</t>
  </si>
  <si>
    <t>435-000 · Cost of sales - Juice</t>
  </si>
  <si>
    <t>440-000 · Cost of Sales - Retail</t>
  </si>
  <si>
    <t>600-020 · Wages - F.O.H. Hourly</t>
  </si>
  <si>
    <t>600-029 · FOH-Bonus</t>
  </si>
  <si>
    <t>600-030 · Wages - B.O.H. Salaries</t>
  </si>
  <si>
    <t>600-036 · BOH-Bonus</t>
  </si>
  <si>
    <t>600-040 · Wages - B.O.H. Hourly</t>
  </si>
  <si>
    <t>600-050 · Training Wages</t>
  </si>
  <si>
    <t>600-055 · Wages - Office</t>
  </si>
  <si>
    <t>600-060 · Wages - Contract Labor</t>
  </si>
  <si>
    <t>600-070 · Internal Commission</t>
  </si>
  <si>
    <t>605-020 · Staff Insurance</t>
  </si>
  <si>
    <t>605-070 · Staff Welfare</t>
  </si>
  <si>
    <t>610-030 · Web Design &amp; Maintenance</t>
  </si>
  <si>
    <t>610-040 · Branding &amp; Design</t>
  </si>
  <si>
    <t>610-050 · R &amp; D</t>
  </si>
  <si>
    <t>610-070 · External Commission Expense</t>
  </si>
  <si>
    <t>610-080 · Valet Parking</t>
  </si>
  <si>
    <t>610-100 · Photography expense</t>
  </si>
  <si>
    <t>620-010 · Airfare</t>
  </si>
  <si>
    <t>620-030 · Hotel</t>
  </si>
  <si>
    <t>620-040 · Travel / Taxi Charges</t>
  </si>
  <si>
    <t>620-050 · Delivery Charges</t>
  </si>
  <si>
    <t>620-060 · Fuel charges</t>
  </si>
  <si>
    <t>640-030 · Postage/Courier</t>
  </si>
  <si>
    <t>650-021 · Cleaning Contract Services</t>
  </si>
  <si>
    <t>650-023 · Trash/Waste Removal Service</t>
  </si>
  <si>
    <t>650-024 · Chemical/Cleaning Supplies</t>
  </si>
  <si>
    <t>650-030 · Housewares</t>
  </si>
  <si>
    <t>650-040 · Disposables</t>
  </si>
  <si>
    <t>650-050 · Chinaware</t>
  </si>
  <si>
    <t>650-060 · Flatware</t>
  </si>
  <si>
    <t>650-070 · Glassware</t>
  </si>
  <si>
    <t>650-080 · Barware</t>
  </si>
  <si>
    <t>650-090 · Music</t>
  </si>
  <si>
    <t>650-100 · Flowers/Landscape</t>
  </si>
  <si>
    <t>650-120 · Menus</t>
  </si>
  <si>
    <t>655-020 · Repairs - Equipment</t>
  </si>
  <si>
    <t>655-040 · Pool Maintenance</t>
  </si>
  <si>
    <t>655-050 · Repairs - Engineering</t>
  </si>
  <si>
    <t>660-020 · Audit Fees</t>
  </si>
  <si>
    <t>660-100 · Donations</t>
  </si>
  <si>
    <t>660-110 · Royalties</t>
  </si>
  <si>
    <t>660-120 · Corporation Tax</t>
  </si>
  <si>
    <t>660-130 · Property Taxes</t>
  </si>
  <si>
    <t>660-140 · Penalties</t>
  </si>
  <si>
    <t>660-150 · Interest on Tax/Penalties</t>
  </si>
  <si>
    <t>660-170 · Management Fees</t>
  </si>
  <si>
    <t>660-180 · Owner's Guarnteed Return</t>
  </si>
  <si>
    <t>670-020 · Real Estate Taxes</t>
  </si>
  <si>
    <t>670-030 · Commercial Rent Tax</t>
  </si>
  <si>
    <t>670-090 · Security Services</t>
  </si>
  <si>
    <t>670-095 · CAM Charges</t>
  </si>
  <si>
    <t>800-010 · Bank Interest</t>
  </si>
  <si>
    <t>Revenue - Tea/Coffee</t>
  </si>
  <si>
    <t>Revenue - Wines</t>
  </si>
  <si>
    <t>Revenue - Juice</t>
  </si>
  <si>
    <t>Revenue - Retail</t>
  </si>
  <si>
    <t>Revenue - Admin Fees</t>
  </si>
  <si>
    <t>Revenue - Room Rental</t>
  </si>
  <si>
    <t>Cost of Sales - Tea/Coffee</t>
  </si>
  <si>
    <t>Cost of Sales - Wine</t>
  </si>
  <si>
    <t>Cost of sales - Juice</t>
  </si>
  <si>
    <t>Cost of Sales - Retail</t>
  </si>
  <si>
    <t>Gross Profit - Tea/Coffee</t>
  </si>
  <si>
    <t>Gross Profit - Juice</t>
  </si>
  <si>
    <t>Gross Profit - Retail</t>
  </si>
  <si>
    <t>Gross Profit - Admin Fees</t>
  </si>
  <si>
    <t>Gross Profit - Room Rental</t>
  </si>
  <si>
    <t>Wages - F.O.H. Salaries</t>
  </si>
  <si>
    <t>Wages - F.O.H. Hourly</t>
  </si>
  <si>
    <t>FOH-Bonus</t>
  </si>
  <si>
    <t>Wages - B.O.H. Salaries</t>
  </si>
  <si>
    <t>BOH-Bonus</t>
  </si>
  <si>
    <t>Wages - B.O.H. Hourly</t>
  </si>
  <si>
    <t>Training Wages</t>
  </si>
  <si>
    <t>Wages - Office</t>
  </si>
  <si>
    <t>Wages - Contract Labor</t>
  </si>
  <si>
    <t>Internal Commission</t>
  </si>
  <si>
    <t>Staff Insurance</t>
  </si>
  <si>
    <t>Staff Welfare</t>
  </si>
  <si>
    <t>ADVERTISING/PROMOTION</t>
  </si>
  <si>
    <t>R &amp; D</t>
  </si>
  <si>
    <t>External Commission Expense</t>
  </si>
  <si>
    <t>Valet Parking</t>
  </si>
  <si>
    <t>Photography expense</t>
  </si>
  <si>
    <t>TOTAL ADVERTISING/PROMOTION</t>
  </si>
  <si>
    <t>TRAVEL &amp; ENTERAINMENT</t>
  </si>
  <si>
    <t>Hotel</t>
  </si>
  <si>
    <t>Travel / Taxi Charges</t>
  </si>
  <si>
    <t>Delivery Charges</t>
  </si>
  <si>
    <t>Fuel charges</t>
  </si>
  <si>
    <t>TOTAL TRAVEL &amp; ENTERAINMENT</t>
  </si>
  <si>
    <t>COMMUNICATION</t>
  </si>
  <si>
    <t>TOTAL COMMUNICATION</t>
  </si>
  <si>
    <t>Cleaning Contract Services</t>
  </si>
  <si>
    <t>Trash/Waste Removal Service</t>
  </si>
  <si>
    <t>Chemical/Cleaning Supplies</t>
  </si>
  <si>
    <t>Disposables</t>
  </si>
  <si>
    <t>Housewares</t>
  </si>
  <si>
    <t>Glassware</t>
  </si>
  <si>
    <t>Flowers/Landscape</t>
  </si>
  <si>
    <t>Repairs - Equipment</t>
  </si>
  <si>
    <t>Pool Maintenance</t>
  </si>
  <si>
    <t>Repairs - Engineering</t>
  </si>
  <si>
    <t>FINANCIAL COST</t>
  </si>
  <si>
    <t>Audit Fees</t>
  </si>
  <si>
    <t>Donations</t>
  </si>
  <si>
    <t>Royalties</t>
  </si>
  <si>
    <t>Corporation Tax</t>
  </si>
  <si>
    <t>Property Taxes</t>
  </si>
  <si>
    <t>TOTAL FINANCIAL COST</t>
  </si>
  <si>
    <t>Real Estate Taxes</t>
  </si>
  <si>
    <t>Security Services</t>
  </si>
  <si>
    <t>Management Fees</t>
  </si>
  <si>
    <t>Owner's Guarnteed Return</t>
  </si>
  <si>
    <t>135-010 · Staff Loans/Salary Advances</t>
  </si>
  <si>
    <t>135-021 · Deposit - Rent</t>
  </si>
  <si>
    <t>135-022 · Security Deposits</t>
  </si>
  <si>
    <t>135-020 · Deposits - Other</t>
  </si>
  <si>
    <t>150-000 · Fees:150-001 · Construction Management</t>
  </si>
  <si>
    <t>150-000 · Fees:150-002 · Interior Design</t>
  </si>
  <si>
    <t>150-000 · Fees:150-003 · MEP</t>
  </si>
  <si>
    <t>150-000 · Fees:150-004 · Architect</t>
  </si>
  <si>
    <t>150-000 · Fees:150-005 · Kitchen Consultant</t>
  </si>
  <si>
    <t>150-000 · Fees:150-006 · Structural Engineer</t>
  </si>
  <si>
    <t>150-000 · Fees:150-007 · Lighting Consultant</t>
  </si>
  <si>
    <t>150-000 · Fees:150-008 · Permits</t>
  </si>
  <si>
    <t>150-000 · Fees:150-009 · Legal Attorney</t>
  </si>
  <si>
    <t>150-000 · Fees:150-010 · Liquor Attorney</t>
  </si>
  <si>
    <t>150-000 · Fees:150-011 · Code &amp; Expeditor</t>
  </si>
  <si>
    <t>150-000 · Fees:150-050 · Accumulated Amortization</t>
  </si>
  <si>
    <t>151-050 · Accumulated Depreciation</t>
  </si>
  <si>
    <t>Kitchen</t>
  </si>
  <si>
    <t>152-050 · Accumulated Depreciation</t>
  </si>
  <si>
    <t>POS</t>
  </si>
  <si>
    <t>153-001 · POS</t>
  </si>
  <si>
    <t>Audio/Visual</t>
  </si>
  <si>
    <t>153-002 · Audio/Visual</t>
  </si>
  <si>
    <t>Restaurant</t>
  </si>
  <si>
    <t>Office</t>
  </si>
  <si>
    <t>153-050 · Accumulated Depreciation</t>
  </si>
  <si>
    <t>154-001 · Restaurant</t>
  </si>
  <si>
    <t>154-002 · Office</t>
  </si>
  <si>
    <t>154-050 · Accumulated Depreciation</t>
  </si>
  <si>
    <t>Goodwill</t>
  </si>
  <si>
    <t>160-001 · Goodwill</t>
  </si>
  <si>
    <t>Lease Surrender Intangible</t>
  </si>
  <si>
    <t>160-002 · Lease Surrender Intangible</t>
  </si>
  <si>
    <t>Patents and Trademarks</t>
  </si>
  <si>
    <t>160-003 · Patents and Trademarks</t>
  </si>
  <si>
    <t>Accumulated Amortization</t>
  </si>
  <si>
    <t>160-050 · Accumulated Amortization</t>
  </si>
  <si>
    <t>Total 165-000 · Start-Up Costs</t>
  </si>
  <si>
    <t>200-000 · Accounts Payable - USD</t>
  </si>
  <si>
    <t>Other Current Liabilities</t>
  </si>
  <si>
    <t>Liability for uncleared checks</t>
  </si>
  <si>
    <t>215-100 · Liability for uncleared checks</t>
  </si>
  <si>
    <t>Event Deposits</t>
  </si>
  <si>
    <t>Gift Card</t>
  </si>
  <si>
    <t>Due To/From SIB LLC</t>
  </si>
  <si>
    <t>230-010 · Due To/From SIB LLC</t>
  </si>
  <si>
    <t>Due To/From SIB Consulting LA</t>
  </si>
  <si>
    <t>230-020 · Due To/From SIB Consulting LA</t>
  </si>
  <si>
    <t>Due To/From Rule of Thirds</t>
  </si>
  <si>
    <t>Due To/From Toad Jam LLC</t>
  </si>
  <si>
    <t>230-040 · Due To/From Toad Jam LLC</t>
  </si>
  <si>
    <t>Due To/From Ennismore Int</t>
  </si>
  <si>
    <t>230-050 · Due To/From Ennismore Int</t>
  </si>
  <si>
    <t>Due To/From Hoxton Payroll</t>
  </si>
  <si>
    <t>230-060 · Due To/From Hoxton Payroll</t>
  </si>
  <si>
    <t>Long Term Debt</t>
  </si>
  <si>
    <t>290-010 · Promissory Note Payable</t>
  </si>
  <si>
    <t>ENNISMORE INTERNATIONAL</t>
  </si>
  <si>
    <t>280-010 · ENNISMORE INTERNATIONAL</t>
  </si>
  <si>
    <t>Income</t>
  </si>
  <si>
    <t>Total Income</t>
  </si>
  <si>
    <t>Total COGS</t>
  </si>
  <si>
    <t>Gross Profit</t>
  </si>
  <si>
    <t>Expense</t>
  </si>
  <si>
    <t>Cost of sales-Juice</t>
  </si>
  <si>
    <t>300-070 · 4% Health and Care Fee</t>
  </si>
  <si>
    <t>Revenue - 4% Health and Care Fee</t>
  </si>
  <si>
    <t>Gross Profit - 4% Health and Care Fee</t>
  </si>
  <si>
    <t>Wages - Vacation Pay</t>
  </si>
  <si>
    <t>Sibling</t>
  </si>
  <si>
    <t>Pilot</t>
  </si>
  <si>
    <t>Events</t>
  </si>
  <si>
    <t>Events Charge</t>
  </si>
  <si>
    <t>DTLA Charge</t>
  </si>
  <si>
    <t>600-060 · Wages - Vacation Pay</t>
  </si>
  <si>
    <t>600-065 · Wages - Contract Labor</t>
  </si>
  <si>
    <t>660-090 · 401K Fees</t>
  </si>
  <si>
    <t>401K Fees</t>
  </si>
  <si>
    <t>205-010 · Credit Card - 12000</t>
  </si>
  <si>
    <t>Credit Card - 12000</t>
  </si>
  <si>
    <t>Web Design &amp; Maintenance</t>
  </si>
  <si>
    <t>600-100 · PPP Expenses</t>
  </si>
  <si>
    <t>PPP Expenses</t>
  </si>
  <si>
    <t>660-150 · Interest on Loan</t>
  </si>
  <si>
    <t>Interest on Loan</t>
  </si>
  <si>
    <t>EBITDA||+||Other Income||-||Interest on Loan||-||Other Expenses||-||Management Fees</t>
  </si>
  <si>
    <t>Basement</t>
  </si>
  <si>
    <t>230-030 · Due To/From ROTH LLC</t>
  </si>
  <si>
    <t>Fees</t>
  </si>
  <si>
    <t>Total Inventory</t>
  </si>
  <si>
    <t>Food</t>
  </si>
  <si>
    <t>Tea/Coffee</t>
  </si>
  <si>
    <t>Wine</t>
  </si>
  <si>
    <t>Liquor</t>
  </si>
  <si>
    <t>Beer</t>
  </si>
  <si>
    <t>Juice</t>
  </si>
  <si>
    <t>Jan - Dec 21</t>
  </si>
  <si>
    <t>PERIOD</t>
  </si>
  <si>
    <t>PROFIT &amp; LOSS</t>
  </si>
  <si>
    <t>CURRENCY</t>
  </si>
  <si>
    <t>300-020 · Revenue - Tea/Coffee||+||300-030 · Revenue - Wines||+||300-040 · Revenue - Liquor||+||300-050 · Revenue - Beer||300-060 · Revenue - Juice</t>
  </si>
  <si>
    <t>415-000 · Cost of Sales - Tea/Coffee||+||420-000 · Cost of Sales - Wine||+||425-000 · Cost of Sales - Liquor||+||430-000 · Cost of Sales - Beer||+||435-000 · Cost of sales - Juice</t>
  </si>
  <si>
    <t>300-010 · Revenue - Food||-||410-000 · Cost of Sales - Food</t>
  </si>
  <si>
    <t>300-020 · Revenue - Tea/Coffee||-||415-000 · Cost of Sales - Tea/Coffee</t>
  </si>
  <si>
    <t>300-030 · Revenue - Wines||-||420-000 · Cost of Sales - Wine</t>
  </si>
  <si>
    <t>300-040 · Revenue - Liquor||-||425-000 · Cost of Sales - Liquor</t>
  </si>
  <si>
    <t>300-050 · Revenue - Beer||-||430-000 · Cost of Sales - Beer</t>
  </si>
  <si>
    <t>300-060 · Revenue - Juice||-||435-000 · Cost of sales - Juice</t>
  </si>
  <si>
    <t>300-080 · Revenue - Retail||-||440-000 · Cost of Sales - Retail</t>
  </si>
  <si>
    <t>300-020 · Revenue - Tea/Coffee||-||415-000 · Cost of Sales - Tea/Coffee||+||300-030 · Revenue - Wines||-||420-000 · Cost of Sales - Wine||+||300-040 · Revenue - Liquor||-||425-000 · Cost of Sales - Liquor||+||300-050 · Revenue - Beer||-||430-000 · Cost of Sales - Beer||+||300-060 · Revenue - Juice||-||435-000 · Cost of sales - Juice</t>
  </si>
  <si>
    <t>Salaries &amp; Wages</t>
  </si>
  <si>
    <t>Contract Labour</t>
  </si>
  <si>
    <t>Sum of all payroll dollars</t>
  </si>
  <si>
    <t>Payroll Related</t>
  </si>
  <si>
    <t>TOTAL PAYROLL RELATED</t>
  </si>
  <si>
    <t>Sum of total payroll related</t>
  </si>
  <si>
    <t>TOTAL PAYROLL &amp; PAYROLL RELATED</t>
  </si>
  <si>
    <t>Sum of total staff cost + total payroll related</t>
  </si>
  <si>
    <t>Operating Expenses</t>
  </si>
  <si>
    <t>OPERATING COST &amp; EXPENSES</t>
  </si>
  <si>
    <t>Sum of operating operating expenses</t>
  </si>
  <si>
    <t>GROSS INCOME</t>
  </si>
  <si>
    <t>Should be departmental profit; revenues (-) total payroll &amp; payroll related (-) operating expenses. Please add percent gross income as well.</t>
  </si>
  <si>
    <t>UNDISTRIBUTED COSTS</t>
  </si>
  <si>
    <t>Administration &amp; General</t>
  </si>
  <si>
    <t>TOTAL A&amp;G</t>
  </si>
  <si>
    <t>Sum of all A&amp;G Expenses</t>
  </si>
  <si>
    <t>Sales &amp; Marketing</t>
  </si>
  <si>
    <t>TOTAL S&amp;M</t>
  </si>
  <si>
    <t>Sum of all S&amp;M expenses</t>
  </si>
  <si>
    <t>IT &amp; Communication</t>
  </si>
  <si>
    <t>TOTAL IT &amp; COMMUNICATION</t>
  </si>
  <si>
    <t>Sum of all IT&amp;Comm expenses</t>
  </si>
  <si>
    <t>Repairs &amp; Maintenance</t>
  </si>
  <si>
    <t>Sum of all Repairs &amp; Maintenance</t>
  </si>
  <si>
    <t>Utilities</t>
  </si>
  <si>
    <t>TOTAL UTILITIES</t>
  </si>
  <si>
    <t>Sum of all Utilities</t>
  </si>
  <si>
    <t>TOTAL UNDISTRIBUTED COSTS</t>
  </si>
  <si>
    <t>Sum 1-5</t>
  </si>
  <si>
    <t>Sum of all undistributed costs (1-5)</t>
  </si>
  <si>
    <t>GROSS PROFIT/LOSS</t>
  </si>
  <si>
    <t>Gross income (-) total undistributed costs.</t>
  </si>
  <si>
    <t>Non-OP Income &amp; Expense</t>
  </si>
  <si>
    <t>TOTAL NON-OP INCOME &amp; EXPENSE</t>
  </si>
  <si>
    <t>Sum of all non-operating expenses</t>
  </si>
  <si>
    <t>Gross profit (-) total non-op income &amp; expense.</t>
  </si>
  <si>
    <t>Outlet Totals</t>
  </si>
  <si>
    <t>P11- February</t>
  </si>
  <si>
    <t>P12- March</t>
  </si>
  <si>
    <t>P1- April</t>
  </si>
  <si>
    <t>P2- May</t>
  </si>
  <si>
    <t>CUM</t>
  </si>
  <si>
    <t>PERIOD (WEEK)</t>
  </si>
  <si>
    <t xml:space="preserve">Assumptions: Outdoor dining open only.  Pilot open for lunch dinner only.  Sibling coffee bar open for breakfast.  </t>
  </si>
  <si>
    <t>US $</t>
  </si>
  <si>
    <t>%</t>
  </si>
  <si>
    <t>TURNOVER</t>
  </si>
  <si>
    <t>300-010</t>
  </si>
  <si>
    <t>300-030</t>
  </si>
  <si>
    <t>300-050</t>
  </si>
  <si>
    <t>300-020</t>
  </si>
  <si>
    <t>300-100</t>
  </si>
  <si>
    <t>Room Rental Fees</t>
  </si>
  <si>
    <t>5% Events Admin Fee</t>
  </si>
  <si>
    <t>DTLA Surcharge</t>
  </si>
  <si>
    <t>410-000</t>
  </si>
  <si>
    <t>420-000</t>
  </si>
  <si>
    <t>425-000</t>
  </si>
  <si>
    <t>430-000</t>
  </si>
  <si>
    <t>415-000</t>
  </si>
  <si>
    <t>4% DTLA Surcharge</t>
  </si>
  <si>
    <t>Total Food</t>
  </si>
  <si>
    <t>Total Bev</t>
  </si>
  <si>
    <t>600-070</t>
  </si>
  <si>
    <t>600-050</t>
  </si>
  <si>
    <t>Training wages</t>
  </si>
  <si>
    <t>PPP Credit</t>
  </si>
  <si>
    <t>600-500</t>
  </si>
  <si>
    <t>Staff welfare</t>
  </si>
  <si>
    <t>610-010</t>
  </si>
  <si>
    <t>Event expenses</t>
  </si>
  <si>
    <t>Photography Expense</t>
  </si>
  <si>
    <t>TOTAL ADVERTISING / PROMOTION</t>
  </si>
  <si>
    <t>Lodging</t>
  </si>
  <si>
    <t>Delivery charges</t>
  </si>
  <si>
    <t>TOTAL TRAVEL &amp; ENTERTAINMENT</t>
  </si>
  <si>
    <t>650-010</t>
  </si>
  <si>
    <t>650-016</t>
  </si>
  <si>
    <t>650-017</t>
  </si>
  <si>
    <t>650-018</t>
  </si>
  <si>
    <t>650-019</t>
  </si>
  <si>
    <t>Chemicals</t>
  </si>
  <si>
    <t>650-020</t>
  </si>
  <si>
    <t>Landscape &amp; Pool</t>
  </si>
  <si>
    <t>Dues and Subscriptions</t>
  </si>
  <si>
    <t>TOTAL SUPPLIES &amp; MAINTENANCE</t>
  </si>
  <si>
    <t>Interest on loans</t>
  </si>
  <si>
    <t>Membership Fees</t>
  </si>
  <si>
    <t>660-180</t>
  </si>
  <si>
    <t>Hotel Departmental Profit</t>
  </si>
  <si>
    <r>
      <rPr>
        <sz val="9"/>
        <color rgb="FF000000"/>
        <rFont val="Calibri"/>
        <family val="2"/>
      </rPr>
      <t>OPERATING PROFIT/</t>
    </r>
    <r>
      <rPr>
        <sz val="9"/>
        <color rgb="FF000000"/>
        <rFont val="Calibri"/>
        <family val="2"/>
      </rPr>
      <t>(LOSS)</t>
    </r>
  </si>
  <si>
    <t>670-010</t>
  </si>
  <si>
    <t>Owner's Guaranteed Return</t>
  </si>
  <si>
    <t>OT</t>
  </si>
  <si>
    <t>Other Expense</t>
  </si>
  <si>
    <t>PROFIT BEFORE TAX, DEPRECIATION</t>
  </si>
  <si>
    <t>Leasehold</t>
  </si>
  <si>
    <t>Kitchen/Hood</t>
  </si>
  <si>
    <t>Uncategorized expense</t>
  </si>
  <si>
    <t>700-000</t>
  </si>
  <si>
    <t>710-000</t>
  </si>
  <si>
    <t>Difference  - Cross check point with PL</t>
  </si>
  <si>
    <t>Back To Index</t>
  </si>
  <si>
    <t>P11- January</t>
  </si>
  <si>
    <t>THE HOXTON (DOWNTOWN LA)R-B LLC</t>
  </si>
  <si>
    <t>300-050 · Revenue - Liquor</t>
  </si>
  <si>
    <t>300-060 · Revenue - Beer</t>
  </si>
  <si>
    <t>300-070 · Revenue - Juice</t>
  </si>
  <si>
    <t>300-090 · 4% Health and Care Fee</t>
  </si>
  <si>
    <t>435-000 · Cost of Sales - Juice</t>
  </si>
  <si>
    <t>445-000 · Cost of Sales - Retails</t>
  </si>
  <si>
    <t>600-130 · Wages - F.O.H. Hourly</t>
  </si>
  <si>
    <t>600-110 · FOH-Bonus</t>
  </si>
  <si>
    <t>600-400 · BOH-Bonus</t>
  </si>
  <si>
    <t>600-420 · Wages - B.O.H. Hourly</t>
  </si>
  <si>
    <t>601-201 · Staff Workman's Comp</t>
  </si>
  <si>
    <t>601-250 · Staff Insurance</t>
  </si>
  <si>
    <t>601-202 · Staff Recruitment</t>
  </si>
  <si>
    <t>601-204 · Staff Uniforms</t>
  </si>
  <si>
    <t>601-205 · Staff Meals</t>
  </si>
  <si>
    <t>601-206 · Staff Welfare</t>
  </si>
  <si>
    <t>601-208 · Staff First Aid</t>
  </si>
  <si>
    <t>601-000 · Partner Labor</t>
  </si>
  <si>
    <t>610-001 · Advertising</t>
  </si>
  <si>
    <t>610-002 · Public Relations</t>
  </si>
  <si>
    <t>610-004 · Branding &amp; Design</t>
  </si>
  <si>
    <t>610-005 · R &amp; D</t>
  </si>
  <si>
    <t>610-006 · Event Expenses</t>
  </si>
  <si>
    <t>610-007 · External Commission Expense</t>
  </si>
  <si>
    <t>630-003 · Valet Parking</t>
  </si>
  <si>
    <t>610-009 · Subscriptions</t>
  </si>
  <si>
    <t>610-010 · Photography expense</t>
  </si>
  <si>
    <t>610-011 · Complimentary Cost</t>
  </si>
  <si>
    <t>630-002 · Web Design &amp; Maintenance</t>
  </si>
  <si>
    <t>635-001 · Airfare</t>
  </si>
  <si>
    <t>635-002 · Entertainment Meals</t>
  </si>
  <si>
    <t>635-003 · Hotel</t>
  </si>
  <si>
    <t>635-004 · Travel / Taxi Charges</t>
  </si>
  <si>
    <t>630-004 · Delivery Charges</t>
  </si>
  <si>
    <t>635-006 · Fuel charges</t>
  </si>
  <si>
    <t>630-005 · Telephone</t>
  </si>
  <si>
    <t>630-007 · Postage/Courier</t>
  </si>
  <si>
    <t>630-006 · Internet/Email</t>
  </si>
  <si>
    <t>650-001 · Linen &amp; Laundry</t>
  </si>
  <si>
    <t>650-003 · Cleaning Contract Services</t>
  </si>
  <si>
    <t>650-004 · Pest Control</t>
  </si>
  <si>
    <t>650-005 · Trash/Waste Removal Service</t>
  </si>
  <si>
    <t>650-051 · Chemical/Cleaning Supplies</t>
  </si>
  <si>
    <t>650-025 · Housewares</t>
  </si>
  <si>
    <t>650-024 · Disposables</t>
  </si>
  <si>
    <t>650-010 · Chinaware</t>
  </si>
  <si>
    <t>650-011 · Flatware</t>
  </si>
  <si>
    <t>650-012 · Glassware</t>
  </si>
  <si>
    <t>650-013 · Barware</t>
  </si>
  <si>
    <t>650-014 · Music</t>
  </si>
  <si>
    <t>650-015 · Landscape, Flowers &amp; Candles</t>
  </si>
  <si>
    <t>650-016 · Office Supplies/Stationery</t>
  </si>
  <si>
    <t>650-017 · Menus</t>
  </si>
  <si>
    <t>650-018 · IT Cost</t>
  </si>
  <si>
    <t>650-019 · Equipment Rental</t>
  </si>
  <si>
    <t>650-020 · Repairs - Building</t>
  </si>
  <si>
    <t>650-021 · Repairs - Equipment</t>
  </si>
  <si>
    <t>650-022 · Repairs - General</t>
  </si>
  <si>
    <t>650-023 · Pool Maintenance</t>
  </si>
  <si>
    <t>660-001 · Legal Fees</t>
  </si>
  <si>
    <t>660-002 · Audit Fees</t>
  </si>
  <si>
    <t>660-003 · Tax Fees</t>
  </si>
  <si>
    <t>660-004 · Professional Fees</t>
  </si>
  <si>
    <t>660-005 · Accountancy Charges</t>
  </si>
  <si>
    <t>665-001 · Payroll Processing Charges</t>
  </si>
  <si>
    <t>665-002 · Credit Card Charges</t>
  </si>
  <si>
    <t>665-003 · Bank Charges</t>
  </si>
  <si>
    <t>665-004 · Donations</t>
  </si>
  <si>
    <t>665-005 · Royalties</t>
  </si>
  <si>
    <t>665-009 · Corporation Tax</t>
  </si>
  <si>
    <t>665-006 · Property Taxes</t>
  </si>
  <si>
    <t>665-007 · Penalties</t>
  </si>
  <si>
    <t>665-010 · Interest on Loan</t>
  </si>
  <si>
    <t>665-008 · Licenses, Permits &amp; Filing Fees</t>
  </si>
  <si>
    <t>665-011 · Management Fees</t>
  </si>
  <si>
    <t>670-001 · Rent</t>
  </si>
  <si>
    <t>670-003 · Real Estate Escalation Tax</t>
  </si>
  <si>
    <t>670-005 · Electricity</t>
  </si>
  <si>
    <t>670-006 · Gas</t>
  </si>
  <si>
    <t>670-007 · Water</t>
  </si>
  <si>
    <t>670-008 · Storage Rent</t>
  </si>
  <si>
    <t>665-200 · Insurance</t>
  </si>
  <si>
    <t>670-010 · Security Services</t>
  </si>
  <si>
    <t>940-004 · Ask My Accountant</t>
  </si>
  <si>
    <t>940-000 · Other Expenses</t>
  </si>
  <si>
    <t>300-110 · Revenue - Admin Fees</t>
  </si>
  <si>
    <t>940-000 · Other Expenses||+||900-000 · Ask My Accountant</t>
  </si>
  <si>
    <t>HSBC Bank - 4790</t>
  </si>
  <si>
    <t>100-010 · HSBC Bank - 4790</t>
  </si>
  <si>
    <t>Bank-2</t>
  </si>
  <si>
    <t>100-020 · Bank-2</t>
  </si>
  <si>
    <t>120-001 · Food Inventory</t>
  </si>
  <si>
    <t>120-002 · Tea/Coffee Inventory</t>
  </si>
  <si>
    <t>120-003 · Wine Inventory</t>
  </si>
  <si>
    <t>120-004 · Liquor Inventory</t>
  </si>
  <si>
    <t>120-005 · Beer Inventory</t>
  </si>
  <si>
    <t>120-006 · Juice Inventory</t>
  </si>
  <si>
    <t>135-030 · Petty Cash Control</t>
  </si>
  <si>
    <t>Construction Management</t>
  </si>
  <si>
    <t>Interior Design</t>
  </si>
  <si>
    <t>MEP</t>
  </si>
  <si>
    <t>Architect</t>
  </si>
  <si>
    <t>Kitchen Consultant</t>
  </si>
  <si>
    <t>Structural Engineer</t>
  </si>
  <si>
    <t>Lighting Consultant</t>
  </si>
  <si>
    <t>Permits</t>
  </si>
  <si>
    <t>Legal Attorney</t>
  </si>
  <si>
    <t>Liquor Attorney</t>
  </si>
  <si>
    <t>Code &amp; Expeditor</t>
  </si>
  <si>
    <t>151-001 · Leasehold Improvements</t>
  </si>
  <si>
    <t>Initial Buildout</t>
  </si>
  <si>
    <t>151-002 · Initial Buildout</t>
  </si>
  <si>
    <t>Non-GC Buildout</t>
  </si>
  <si>
    <t>151-003 · Non-GC Buildout</t>
  </si>
  <si>
    <t>Total 151-000 · Leasehold Improvement</t>
  </si>
  <si>
    <t>152-001 · Kitchen/Hood</t>
  </si>
  <si>
    <t>152-002 · Initial Buildout</t>
  </si>
  <si>
    <t>Total 152-000 · Kitchen/Hood</t>
  </si>
  <si>
    <t>Machinery and Equipment</t>
  </si>
  <si>
    <t>Acoustical</t>
  </si>
  <si>
    <t>153-003 · Acoustical</t>
  </si>
  <si>
    <t>153-004 · Restaurant</t>
  </si>
  <si>
    <t>153-005 · Office</t>
  </si>
  <si>
    <t>153-006 · Kitchen</t>
  </si>
  <si>
    <t>IT</t>
  </si>
  <si>
    <t>153-007 · IT</t>
  </si>
  <si>
    <t>Total 153-000 · Machinery and Equipment</t>
  </si>
  <si>
    <t xml:space="preserve"> 401k Payable</t>
  </si>
  <si>
    <t xml:space="preserve"> Payroll Tax Payable</t>
  </si>
  <si>
    <t xml:space="preserve"> Payroll Misc Deductions</t>
  </si>
  <si>
    <t xml:space="preserve"> Child Support</t>
  </si>
  <si>
    <t xml:space="preserve"> Tips Payable</t>
  </si>
  <si>
    <t xml:space="preserve"> Service Charge Payable Account</t>
  </si>
  <si>
    <t xml:space="preserve"> NY Paid Family Leave</t>
  </si>
  <si>
    <t xml:space="preserve"> Disability Payable</t>
  </si>
  <si>
    <t xml:space="preserve"> Medical Allowance Payable</t>
  </si>
  <si>
    <t>665-010 · Interest on Loans</t>
  </si>
  <si>
    <t>300-060</t>
  </si>
  <si>
    <t>300-070</t>
  </si>
  <si>
    <t>300-110</t>
  </si>
  <si>
    <t>300-090</t>
  </si>
  <si>
    <t>435-000</t>
  </si>
  <si>
    <t>445-000</t>
  </si>
  <si>
    <t>600-120</t>
  </si>
  <si>
    <t>600-130</t>
  </si>
  <si>
    <t>600-410</t>
  </si>
  <si>
    <t>600-420</t>
  </si>
  <si>
    <t>600-060</t>
  </si>
  <si>
    <t>600-110</t>
  </si>
  <si>
    <t>600-400</t>
  </si>
  <si>
    <t>600-100</t>
  </si>
  <si>
    <t>601-201</t>
  </si>
  <si>
    <t>601-250</t>
  </si>
  <si>
    <t>601-202</t>
  </si>
  <si>
    <t>601-206</t>
  </si>
  <si>
    <t>601-204</t>
  </si>
  <si>
    <t>610-001</t>
  </si>
  <si>
    <t>610-004</t>
  </si>
  <si>
    <t>610-005</t>
  </si>
  <si>
    <t>610-002</t>
  </si>
  <si>
    <t>610-006</t>
  </si>
  <si>
    <t>610-007</t>
  </si>
  <si>
    <t>610-011</t>
  </si>
  <si>
    <t>635-001</t>
  </si>
  <si>
    <t>635-002</t>
  </si>
  <si>
    <t>635-003</t>
  </si>
  <si>
    <t>630-004</t>
  </si>
  <si>
    <t>630-005</t>
  </si>
  <si>
    <t>630-007</t>
  </si>
  <si>
    <t>630-006</t>
  </si>
  <si>
    <t>650-001</t>
  </si>
  <si>
    <t>650-003</t>
  </si>
  <si>
    <t>650-004</t>
  </si>
  <si>
    <t>650-005</t>
  </si>
  <si>
    <t>650-051</t>
  </si>
  <si>
    <t>650-024</t>
  </si>
  <si>
    <t>650-025</t>
  </si>
  <si>
    <t>650-011</t>
  </si>
  <si>
    <t>650-012</t>
  </si>
  <si>
    <t>650-013</t>
  </si>
  <si>
    <t>650-014</t>
  </si>
  <si>
    <t>650-015</t>
  </si>
  <si>
    <t>610-009</t>
  </si>
  <si>
    <t>650-021</t>
  </si>
  <si>
    <t>655-050</t>
  </si>
  <si>
    <t>660-001</t>
  </si>
  <si>
    <t>660-002</t>
  </si>
  <si>
    <t>660-003</t>
  </si>
  <si>
    <t>660-004</t>
  </si>
  <si>
    <t>660-005</t>
  </si>
  <si>
    <t>665-001</t>
  </si>
  <si>
    <t>665-002</t>
  </si>
  <si>
    <t>665-003</t>
  </si>
  <si>
    <t>665-010</t>
  </si>
  <si>
    <t>665-004</t>
  </si>
  <si>
    <t>665-007</t>
  </si>
  <si>
    <t>665-008</t>
  </si>
  <si>
    <t>670-003</t>
  </si>
  <si>
    <t>670-005</t>
  </si>
  <si>
    <t>670-006</t>
  </si>
  <si>
    <t>670-007</t>
  </si>
  <si>
    <t>670-008</t>
  </si>
  <si>
    <t>665-200</t>
  </si>
  <si>
    <t>665-011</t>
  </si>
  <si>
    <t>940-004</t>
  </si>
  <si>
    <t>600-120 · Wages - F.O.H. Salaried</t>
  </si>
  <si>
    <t>600-410 · Wages - B.O.H. Salaried</t>
  </si>
  <si>
    <t>Wages - F.O.H. Salaried</t>
  </si>
  <si>
    <t>Wages - B.O.H. Salaried</t>
  </si>
  <si>
    <t>112-000 · Accounts Receivable</t>
  </si>
  <si>
    <t>215-050 · Tips Payable</t>
  </si>
  <si>
    <t>215-011 · 401k Payable</t>
  </si>
  <si>
    <t>215-020 · Payroll Tax Payable</t>
  </si>
  <si>
    <t>215-030 · Payroll Misc Deductions</t>
  </si>
  <si>
    <t>215-040 · Child Support</t>
  </si>
  <si>
    <t>215-060 · Service Charge Payable Account</t>
  </si>
  <si>
    <t>215-070 · NY Paid Family Leave</t>
  </si>
  <si>
    <t>215-080 · Disability Payable</t>
  </si>
  <si>
    <t>215-090 · Medical Allowance Payable</t>
  </si>
  <si>
    <t>250-100 · Deposits for Future Events</t>
  </si>
  <si>
    <t>250-200 · Gift Certificates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</si>
</sst>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164" formatCode="_(* #,##0.00_);_(* \(#,##0.00\);_(* &quot;-&quot;??_);_(@_)"/>
    <numFmt numFmtId="165" formatCode="mmm"/>
    <numFmt numFmtId="166" formatCode="0.0%"/>
    <numFmt numFmtId="167" formatCode="_(* #,##0_);_(* \(#,##0\);_(* &quot;-&quot;??_);_(@_)"/>
    <numFmt numFmtId="168" formatCode="&quot;$&quot;#,##0.00"/>
    <numFmt numFmtId="169" formatCode="[$-409]mmmm\-yy;@"/>
    <numFmt numFmtId="170" formatCode="dd\-mmm\-yyyy"/>
    <numFmt numFmtId="171" formatCode="#,##0.0%_ ;[Red]\(#,##0.0%\)"/>
    <numFmt numFmtId="172" formatCode="#,##0.00%_ ;[Red]\(#,##0.00%\)"/>
    <numFmt numFmtId="173" formatCode="&quot;$&quot;#,##0.0"/>
    <numFmt numFmtId="174" formatCode="0.000%"/>
  </numFmts>
  <fonts count="57">
    <font>
      <sz val="11"/>
      <color theme="1"/>
      <name val="Calibri"/>
      <family val="2"/>
      <scheme val="minor"/>
    </font>
    <font>
      <sz val="11"/>
      <color theme="1"/>
      <name val="Calibri"/>
      <family val="2"/>
      <scheme val="minor"/>
    </font>
    <font>
      <sz val="8"/>
      <name val="Verdana"/>
      <family val="2"/>
    </font>
    <font>
      <b/>
      <sz val="11"/>
      <color theme="1"/>
      <name val="Calibri"/>
      <family val="2"/>
      <scheme val="minor"/>
    </font>
    <font>
      <sz val="8"/>
      <name val="LinePrinter"/>
    </font>
    <font>
      <b/>
      <sz val="11"/>
      <color theme="0"/>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u/>
      <sz val="5.6"/>
      <color theme="10"/>
      <name val="LinePrinter"/>
    </font>
    <font>
      <sz val="10"/>
      <name val="Arial Narrow"/>
      <family val="2"/>
    </font>
    <font>
      <sz val="10"/>
      <name val="Trebuchet MS"/>
      <family val="2"/>
    </font>
    <font>
      <sz val="10"/>
      <color theme="1"/>
      <name val="Arial"/>
      <family val="2"/>
    </font>
    <font>
      <sz val="8"/>
      <name val="Verdana"/>
      <family val="2"/>
    </font>
    <font>
      <b/>
      <sz val="72"/>
      <color theme="1"/>
      <name val="Calibri"/>
      <family val="2"/>
      <scheme val="minor"/>
    </font>
    <font>
      <b/>
      <sz val="72"/>
      <color theme="5" tint="-0.249977111117893"/>
      <name val="Calibri"/>
      <family val="2"/>
      <scheme val="minor"/>
    </font>
    <font>
      <b/>
      <sz val="72"/>
      <color theme="8" tint="-0.249977111117893"/>
      <name val="Calibri"/>
      <family val="2"/>
      <scheme val="minor"/>
    </font>
    <font>
      <b/>
      <sz val="72"/>
      <color rgb="FF00B050"/>
      <name val="Calibri"/>
      <family val="2"/>
      <scheme val="minor"/>
    </font>
    <font>
      <b/>
      <sz val="72"/>
      <color rgb="FFFFC000"/>
      <name val="Calibri"/>
      <family val="2"/>
      <scheme val="minor"/>
    </font>
    <font>
      <sz val="11"/>
      <name val="Calibri"/>
      <family val="2"/>
      <scheme val="minor"/>
    </font>
    <font>
      <b/>
      <sz val="11"/>
      <name val="Calibri"/>
      <family val="2"/>
      <scheme val="minor"/>
    </font>
    <font>
      <b/>
      <sz val="27"/>
      <color theme="0"/>
      <name val="Calibri"/>
      <family val="2"/>
      <scheme val="minor"/>
    </font>
    <font>
      <b/>
      <sz val="14"/>
      <color theme="1"/>
      <name val="Calibri"/>
      <family val="2"/>
      <scheme val="minor"/>
    </font>
    <font>
      <u/>
      <sz val="10"/>
      <color indexed="12"/>
      <name val="Arial"/>
      <family val="2"/>
    </font>
    <font>
      <b/>
      <u/>
      <sz val="11"/>
      <color rgb="FF0000FF"/>
      <name val="Calibri"/>
      <family val="2"/>
      <scheme val="minor"/>
    </font>
    <font>
      <b/>
      <sz val="11"/>
      <color rgb="FF0000FF"/>
      <name val="Calibri"/>
      <family val="2"/>
      <scheme val="minor"/>
    </font>
    <font>
      <b/>
      <sz val="12"/>
      <name val="Calibri"/>
      <family val="2"/>
      <scheme val="minor"/>
    </font>
    <font>
      <b/>
      <sz val="11"/>
      <color rgb="FFFF0000"/>
      <name val="Calibri"/>
      <family val="2"/>
      <scheme val="minor"/>
    </font>
    <font>
      <b/>
      <sz val="8"/>
      <color rgb="FF323232"/>
      <name val="Arial"/>
      <family val="2"/>
    </font>
    <font>
      <sz val="11"/>
      <color theme="1"/>
      <name val="Calibri"/>
      <family val="2"/>
    </font>
    <font>
      <b/>
      <sz val="11"/>
      <color theme="1"/>
      <name val="Calibri"/>
      <family val="2"/>
    </font>
    <font>
      <b/>
      <sz val="11"/>
      <color rgb="FF000000"/>
      <name val="Calibri"/>
      <family val="2"/>
    </font>
    <font>
      <sz val="11"/>
      <color rgb="FF000000"/>
      <name val="Calibri"/>
      <family val="2"/>
    </font>
    <font>
      <sz val="9"/>
      <color rgb="FF000000"/>
      <name val="Calibri"/>
      <family val="2"/>
    </font>
    <font>
      <sz val="11"/>
      <name val="Arial"/>
      <family val="2"/>
    </font>
    <font>
      <sz val="9"/>
      <color rgb="FFCC0000"/>
      <name val="Calibri"/>
      <family val="2"/>
    </font>
    <font>
      <sz val="9"/>
      <color rgb="FFFFFF00"/>
      <name val="Calibri"/>
      <family val="2"/>
    </font>
    <font>
      <sz val="9"/>
      <color rgb="FF00FF00"/>
      <name val="Calibri"/>
      <family val="2"/>
    </font>
    <font>
      <sz val="9"/>
      <color rgb="FFFFFFFF"/>
      <name val="Calibri"/>
      <family val="2"/>
    </font>
    <font>
      <sz val="9"/>
      <color rgb="FF7E3794"/>
      <name val="Inconsolata"/>
    </font>
    <font>
      <i/>
      <sz val="9"/>
      <color rgb="FF000000"/>
      <name val="Calibri"/>
      <family val="2"/>
    </font>
    <font>
      <sz val="9"/>
      <color rgb="FF000000"/>
      <name val="Arial"/>
      <family val="2"/>
    </font>
    <font>
      <u/>
      <sz val="9"/>
      <color rgb="FF000000"/>
      <name val="Arial"/>
      <family val="2"/>
    </font>
    <font>
      <u/>
      <sz val="9"/>
      <color rgb="FF000000"/>
      <name val="Calibri"/>
      <family val="2"/>
    </font>
    <font>
      <sz val="11"/>
      <color theme="1"/>
      <name val="Arial"/>
      <family val="2"/>
    </font>
  </fonts>
  <fills count="6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30A0"/>
        <bgColor indexed="64"/>
      </patternFill>
    </fill>
    <fill>
      <patternFill patternType="solid">
        <fgColor theme="6" tint="0.79995117038483843"/>
        <bgColor indexed="64"/>
      </patternFill>
    </fill>
    <fill>
      <patternFill patternType="solid">
        <fgColor rgb="FFFFCCFF"/>
        <bgColor indexed="64"/>
      </patternFill>
    </fill>
    <fill>
      <patternFill patternType="solid">
        <fgColor rgb="FFFFFF99"/>
        <bgColor indexed="64"/>
      </patternFill>
    </fill>
    <fill>
      <patternFill patternType="solid">
        <fgColor theme="8" tint="0.59999389629810485"/>
        <bgColor indexed="64"/>
      </patternFill>
    </fill>
    <fill>
      <patternFill patternType="solid">
        <fgColor theme="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rgb="FFFFC7CE"/>
        <bgColor indexed="64"/>
      </patternFill>
    </fill>
    <fill>
      <patternFill patternType="solid">
        <fgColor rgb="FFFFFFCC"/>
        <bgColor rgb="FFFFFFCC"/>
      </patternFill>
    </fill>
    <fill>
      <patternFill patternType="solid">
        <fgColor rgb="FFFFFFFF"/>
        <bgColor rgb="FFFFFFFF"/>
      </patternFill>
    </fill>
    <fill>
      <patternFill patternType="solid">
        <fgColor rgb="FF99CCFF"/>
        <bgColor indexed="64"/>
      </patternFill>
    </fill>
    <fill>
      <patternFill patternType="solid">
        <fgColor rgb="FFF8CBAD"/>
        <bgColor indexed="64"/>
      </patternFill>
    </fill>
    <fill>
      <patternFill patternType="solid">
        <fgColor rgb="FF00FF00"/>
        <bgColor rgb="FF00FF00"/>
      </patternFill>
    </fill>
    <fill>
      <patternFill patternType="solid">
        <fgColor rgb="FF434343"/>
        <bgColor rgb="FF434343"/>
      </patternFill>
    </fill>
    <fill>
      <patternFill patternType="solid">
        <fgColor rgb="FFFFFF00"/>
        <bgColor rgb="FFFFFF00"/>
      </patternFill>
    </fill>
    <fill>
      <patternFill patternType="solid">
        <fgColor rgb="FF3399FF"/>
        <bgColor indexed="64"/>
      </patternFill>
    </fill>
  </fills>
  <borders count="5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thick">
        <color indexed="64"/>
      </top>
      <bottom style="thick">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top/>
      <bottom/>
      <diagonal/>
    </border>
    <border>
      <left style="medium">
        <color indexed="64"/>
      </left>
      <right/>
      <top style="medium">
        <color indexed="64"/>
      </top>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diagonal/>
    </border>
    <border>
      <left/>
      <right/>
      <top style="thin">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rgb="FF000000"/>
      </right>
      <top style="thin">
        <color rgb="FF000000"/>
      </top>
      <bottom style="thin">
        <color rgb="FF000000"/>
      </bottom>
      <diagonal/>
    </border>
    <border>
      <left style="medium">
        <color rgb="FF000000"/>
      </left>
      <right/>
      <top/>
      <bottom/>
      <diagonal/>
    </border>
    <border>
      <left/>
      <right style="thin">
        <color rgb="FF000000"/>
      </right>
      <top/>
      <bottom/>
      <diagonal/>
    </border>
    <border>
      <left style="medium">
        <color rgb="FF000000"/>
      </left>
      <right/>
      <top/>
      <bottom style="medium">
        <color rgb="FF000000"/>
      </bottom>
      <diagonal/>
    </border>
    <border>
      <left/>
      <right/>
      <top/>
      <bottom style="medium">
        <color rgb="FF000000"/>
      </bottom>
      <diagonal/>
    </border>
    <border>
      <left/>
      <right style="thin">
        <color rgb="FF000000"/>
      </right>
      <top/>
      <bottom style="medium">
        <color rgb="FF000000"/>
      </bottom>
      <diagonal/>
    </border>
    <border>
      <left style="thin">
        <color rgb="FF000000"/>
      </left>
      <right/>
      <top/>
      <bottom style="medium">
        <color rgb="FF000000"/>
      </bottom>
      <diagonal/>
    </border>
    <border>
      <left style="medium">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diagonal/>
    </border>
    <border>
      <left/>
      <right style="thin">
        <color rgb="FF000000"/>
      </right>
      <top/>
      <bottom style="thin">
        <color rgb="FF000000"/>
      </bottom>
      <diagonal/>
    </border>
    <border>
      <left style="medium">
        <color rgb="FF000000"/>
      </left>
      <right style="thin">
        <color rgb="FF000000"/>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top style="thin">
        <color rgb="FF000000"/>
      </top>
      <bottom style="medium">
        <color rgb="FF000000"/>
      </bottom>
      <diagonal/>
    </border>
    <border>
      <left style="thin">
        <color rgb="FF000000"/>
      </left>
      <right/>
      <top/>
      <bottom style="thin">
        <color rgb="FF000000"/>
      </bottom>
      <diagonal/>
    </border>
    <border>
      <left/>
      <right/>
      <top/>
      <bottom style="thin">
        <color rgb="FF000000"/>
      </bottom>
      <diagonal/>
    </border>
    <border>
      <left style="medium">
        <color rgb="FF000000"/>
      </left>
      <right/>
      <top style="thin">
        <color rgb="FF000000"/>
      </top>
      <bottom style="medium">
        <color rgb="FF000000"/>
      </bottom>
      <diagonal/>
    </border>
  </borders>
  <cellStyleXfs count="61">
    <xf numFmtId="0" fontId="0" fillId="0" borderId="0"/>
    <xf numFmtId="0" fontId="2" fillId="0" borderId="0"/>
    <xf numFmtId="0" fontId="1" fillId="0" borderId="0"/>
    <xf numFmtId="39" fontId="4"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5" fillId="7" borderId="7" applyNumberFormat="0" applyAlignment="0" applyProtection="0"/>
    <xf numFmtId="0" fontId="17" fillId="0" borderId="0" applyNumberFormat="0" applyFill="0" applyBorder="0" applyAlignment="0" applyProtection="0"/>
    <xf numFmtId="0" fontId="1" fillId="8" borderId="8" applyNumberFormat="0" applyFont="0" applyAlignment="0" applyProtection="0"/>
    <xf numFmtId="0" fontId="18" fillId="0" borderId="0" applyNumberFormat="0" applyFill="0" applyBorder="0" applyAlignment="0" applyProtection="0"/>
    <xf numFmtId="0" fontId="3" fillId="0" borderId="9" applyNumberFormat="0" applyFill="0" applyAlignment="0" applyProtection="0"/>
    <xf numFmtId="0" fontId="19"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9"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9"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9"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9"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9"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0" fillId="0" borderId="0"/>
    <xf numFmtId="0" fontId="21" fillId="0" borderId="0" applyNumberFormat="0" applyFill="0" applyBorder="0" applyAlignment="0" applyProtection="0">
      <alignment vertical="top"/>
      <protection locked="0"/>
    </xf>
    <xf numFmtId="164" fontId="22" fillId="0" borderId="0" applyFont="0" applyFill="0" applyBorder="0" applyAlignment="0" applyProtection="0"/>
    <xf numFmtId="0" fontId="23" fillId="0" borderId="0"/>
    <xf numFmtId="164" fontId="24" fillId="0" borderId="0" applyFont="0" applyFill="0" applyBorder="0" applyAlignment="0" applyProtection="0"/>
    <xf numFmtId="9" fontId="22" fillId="0" borderId="0" applyFont="0" applyFill="0" applyBorder="0" applyAlignment="0" applyProtection="0"/>
    <xf numFmtId="39" fontId="4" fillId="0" borderId="0"/>
    <xf numFmtId="39" fontId="4" fillId="0" borderId="0"/>
    <xf numFmtId="164" fontId="22" fillId="0" borderId="0" applyFont="0" applyFill="0" applyBorder="0" applyAlignment="0" applyProtection="0"/>
    <xf numFmtId="0" fontId="25" fillId="0" borderId="0"/>
    <xf numFmtId="0" fontId="2" fillId="0" borderId="0"/>
    <xf numFmtId="164" fontId="1" fillId="0" borderId="0" applyFont="0" applyFill="0" applyBorder="0" applyAlignment="0" applyProtection="0"/>
    <xf numFmtId="0" fontId="20" fillId="0" borderId="0"/>
    <xf numFmtId="0" fontId="35" fillId="0" borderId="0" applyNumberFormat="0" applyFill="0" applyBorder="0" applyAlignment="0" applyProtection="0">
      <alignment vertical="top"/>
      <protection locked="0"/>
    </xf>
    <xf numFmtId="0" fontId="20" fillId="0" borderId="0"/>
    <xf numFmtId="9" fontId="1" fillId="0" borderId="0" applyFont="0" applyFill="0" applyBorder="0" applyAlignment="0" applyProtection="0"/>
  </cellStyleXfs>
  <cellXfs count="352">
    <xf numFmtId="0" fontId="0" fillId="0" borderId="0" xfId="0"/>
    <xf numFmtId="0" fontId="1" fillId="0" borderId="0" xfId="2"/>
    <xf numFmtId="0" fontId="26" fillId="0" borderId="0" xfId="2" applyFont="1" applyAlignment="1">
      <alignment horizontal="center" vertical="center" wrapText="1"/>
    </xf>
    <xf numFmtId="0" fontId="0" fillId="0" borderId="0" xfId="0"/>
    <xf numFmtId="14" fontId="0" fillId="0" borderId="0" xfId="0" applyNumberFormat="1"/>
    <xf numFmtId="0" fontId="31" fillId="0" borderId="0" xfId="57" applyFont="1" applyBorder="1"/>
    <xf numFmtId="0" fontId="32" fillId="0" borderId="0" xfId="57" applyFont="1" applyBorder="1" applyAlignment="1">
      <alignment vertical="center"/>
    </xf>
    <xf numFmtId="0" fontId="32" fillId="0" borderId="0" xfId="57" applyFont="1" applyFill="1" applyBorder="1" applyAlignment="1">
      <alignment horizontal="center"/>
    </xf>
    <xf numFmtId="0" fontId="32" fillId="36" borderId="10" xfId="58" applyFont="1" applyFill="1" applyBorder="1" applyAlignment="1" applyProtection="1">
      <alignment horizontal="center"/>
    </xf>
    <xf numFmtId="0" fontId="36" fillId="0" borderId="0" xfId="59" applyFont="1" applyBorder="1" applyAlignment="1">
      <alignment horizontal="left" vertical="center"/>
    </xf>
    <xf numFmtId="0" fontId="31" fillId="0" borderId="0" xfId="59" applyFont="1" applyBorder="1" applyAlignment="1">
      <alignment horizontal="left"/>
    </xf>
    <xf numFmtId="0" fontId="37" fillId="35" borderId="10" xfId="57" applyFont="1" applyFill="1" applyBorder="1" applyAlignment="1">
      <alignment horizontal="left" vertical="center"/>
    </xf>
    <xf numFmtId="0" fontId="0" fillId="0" borderId="17" xfId="0" applyBorder="1"/>
    <xf numFmtId="0" fontId="0" fillId="0" borderId="18" xfId="0" applyBorder="1"/>
    <xf numFmtId="0" fontId="0" fillId="0" borderId="19" xfId="0" applyBorder="1"/>
    <xf numFmtId="0" fontId="0" fillId="37" borderId="14" xfId="0" applyFill="1" applyBorder="1"/>
    <xf numFmtId="165" fontId="0" fillId="37" borderId="22" xfId="0" applyNumberFormat="1" applyFill="1" applyBorder="1" applyAlignment="1">
      <alignment horizontal="center" vertical="center"/>
    </xf>
    <xf numFmtId="165" fontId="0" fillId="37" borderId="23" xfId="0" applyNumberFormat="1" applyFill="1" applyBorder="1" applyAlignment="1">
      <alignment horizontal="center" vertical="center"/>
    </xf>
    <xf numFmtId="165" fontId="0" fillId="37" borderId="24" xfId="0" applyNumberFormat="1" applyFill="1" applyBorder="1" applyAlignment="1">
      <alignment horizontal="center" vertical="center"/>
    </xf>
    <xf numFmtId="0" fontId="0" fillId="37" borderId="14" xfId="0" applyFill="1" applyBorder="1" applyAlignment="1">
      <alignment horizontal="center" vertical="center" wrapText="1"/>
    </xf>
    <xf numFmtId="0" fontId="0" fillId="37" borderId="20" xfId="0" applyFill="1" applyBorder="1" applyAlignment="1">
      <alignment horizontal="center" vertical="center" wrapText="1"/>
    </xf>
    <xf numFmtId="0" fontId="0" fillId="37" borderId="21" xfId="0" applyFill="1" applyBorder="1" applyAlignment="1">
      <alignment horizontal="center" vertical="center" wrapText="1"/>
    </xf>
    <xf numFmtId="0" fontId="0" fillId="0" borderId="0" xfId="0" applyAlignment="1">
      <alignment horizontal="center" vertical="center" wrapText="1"/>
    </xf>
    <xf numFmtId="166" fontId="0" fillId="37" borderId="20" xfId="56" applyNumberFormat="1" applyFont="1" applyFill="1" applyBorder="1" applyAlignment="1">
      <alignment horizontal="center" vertical="center" wrapText="1"/>
    </xf>
    <xf numFmtId="166" fontId="0" fillId="37" borderId="21" xfId="56" applyNumberFormat="1" applyFont="1" applyFill="1" applyBorder="1" applyAlignment="1">
      <alignment horizontal="center" vertical="center" wrapText="1"/>
    </xf>
    <xf numFmtId="166" fontId="0" fillId="0" borderId="17" xfId="56" applyNumberFormat="1" applyFont="1" applyBorder="1"/>
    <xf numFmtId="166" fontId="0" fillId="0" borderId="18" xfId="56" applyNumberFormat="1" applyFont="1" applyBorder="1"/>
    <xf numFmtId="166" fontId="0" fillId="0" borderId="19" xfId="56" applyNumberFormat="1" applyFont="1" applyBorder="1"/>
    <xf numFmtId="166" fontId="0" fillId="0" borderId="0" xfId="56" applyNumberFormat="1" applyFont="1"/>
    <xf numFmtId="0" fontId="0" fillId="37" borderId="23" xfId="0" applyFill="1" applyBorder="1"/>
    <xf numFmtId="0" fontId="0" fillId="37" borderId="24" xfId="0" applyFill="1" applyBorder="1"/>
    <xf numFmtId="0" fontId="0" fillId="37" borderId="22" xfId="0" applyFill="1" applyBorder="1"/>
    <xf numFmtId="2" fontId="0" fillId="0" borderId="17" xfId="0" applyNumberFormat="1" applyBorder="1"/>
    <xf numFmtId="0" fontId="0" fillId="37" borderId="20" xfId="0" applyFill="1" applyBorder="1" applyAlignment="1">
      <alignment horizontal="center" vertical="center"/>
    </xf>
    <xf numFmtId="0" fontId="0" fillId="37" borderId="21" xfId="0" applyFill="1" applyBorder="1" applyAlignment="1">
      <alignment horizontal="center" vertical="center"/>
    </xf>
    <xf numFmtId="2" fontId="0" fillId="0" borderId="18" xfId="0" applyNumberFormat="1" applyBorder="1"/>
    <xf numFmtId="2" fontId="0" fillId="0" borderId="19" xfId="0" applyNumberFormat="1" applyBorder="1"/>
    <xf numFmtId="9" fontId="0" fillId="0" borderId="17" xfId="0" applyNumberFormat="1" applyBorder="1"/>
    <xf numFmtId="9" fontId="0" fillId="0" borderId="18" xfId="0" applyNumberFormat="1" applyBorder="1"/>
    <xf numFmtId="9" fontId="0" fillId="0" borderId="19" xfId="0" applyNumberFormat="1" applyBorder="1"/>
    <xf numFmtId="14" fontId="0" fillId="0" borderId="0" xfId="0" quotePrefix="1" applyNumberFormat="1"/>
    <xf numFmtId="0" fontId="3" fillId="0" borderId="0" xfId="0" applyFont="1" applyAlignment="1">
      <alignment horizontal="center" vertical="center"/>
    </xf>
    <xf numFmtId="0" fontId="0" fillId="0" borderId="0" xfId="0" applyAlignment="1">
      <alignment wrapText="1"/>
    </xf>
    <xf numFmtId="0" fontId="5" fillId="38" borderId="10" xfId="0" applyFont="1" applyFill="1" applyBorder="1" applyAlignment="1">
      <alignment horizontal="center" vertical="center"/>
    </xf>
    <xf numFmtId="0" fontId="5" fillId="38" borderId="10" xfId="0" applyFont="1" applyFill="1" applyBorder="1" applyAlignment="1">
      <alignment horizontal="center" vertical="center" wrapText="1"/>
    </xf>
    <xf numFmtId="0" fontId="0" fillId="39" borderId="10" xfId="0" applyFill="1" applyBorder="1" applyAlignment="1">
      <alignment horizontal="left" vertical="center"/>
    </xf>
    <xf numFmtId="0" fontId="31" fillId="39" borderId="10" xfId="0" applyFont="1" applyFill="1" applyBorder="1" applyAlignment="1" applyProtection="1">
      <alignment horizontal="left"/>
      <protection hidden="1"/>
    </xf>
    <xf numFmtId="0" fontId="0" fillId="39" borderId="10" xfId="0" applyFill="1" applyBorder="1" applyAlignment="1">
      <alignment wrapText="1"/>
    </xf>
    <xf numFmtId="0" fontId="0" fillId="39" borderId="10" xfId="0" applyFill="1" applyBorder="1"/>
    <xf numFmtId="0" fontId="0" fillId="39" borderId="10" xfId="0" applyFill="1" applyBorder="1" applyAlignment="1">
      <alignment horizontal="left"/>
    </xf>
    <xf numFmtId="0" fontId="0" fillId="39" borderId="10" xfId="0" applyFill="1" applyBorder="1" applyAlignment="1">
      <alignment horizontal="left" wrapText="1"/>
    </xf>
    <xf numFmtId="0" fontId="32" fillId="39" borderId="10" xfId="0" applyFont="1" applyFill="1" applyBorder="1" applyAlignment="1" applyProtection="1">
      <alignment horizontal="left"/>
      <protection hidden="1"/>
    </xf>
    <xf numFmtId="0" fontId="3" fillId="39" borderId="10" xfId="0" applyFont="1" applyFill="1" applyBorder="1" applyAlignment="1">
      <alignment horizontal="left"/>
    </xf>
    <xf numFmtId="0" fontId="3" fillId="39" borderId="10" xfId="0" applyFont="1" applyFill="1" applyBorder="1" applyAlignment="1">
      <alignment horizontal="left" wrapText="1"/>
    </xf>
    <xf numFmtId="0" fontId="0" fillId="40" borderId="10" xfId="0" applyFill="1" applyBorder="1" applyAlignment="1">
      <alignment horizontal="left" vertical="center"/>
    </xf>
    <xf numFmtId="0" fontId="0" fillId="40" borderId="10" xfId="0" applyFill="1" applyBorder="1" applyAlignment="1">
      <alignment horizontal="left"/>
    </xf>
    <xf numFmtId="0" fontId="31" fillId="40" borderId="10" xfId="0" applyFont="1" applyFill="1" applyBorder="1" applyAlignment="1" applyProtection="1">
      <alignment horizontal="left" wrapText="1"/>
      <protection hidden="1"/>
    </xf>
    <xf numFmtId="0" fontId="0" fillId="40" borderId="10" xfId="0" applyFill="1" applyBorder="1" applyAlignment="1">
      <alignment wrapText="1"/>
    </xf>
    <xf numFmtId="0" fontId="0" fillId="40" borderId="10" xfId="0" applyFill="1" applyBorder="1"/>
    <xf numFmtId="0" fontId="3" fillId="40" borderId="10" xfId="0" applyFont="1" applyFill="1" applyBorder="1" applyAlignment="1">
      <alignment horizontal="left"/>
    </xf>
    <xf numFmtId="0" fontId="32" fillId="40" borderId="10" xfId="0" applyFont="1" applyFill="1" applyBorder="1" applyAlignment="1" applyProtection="1">
      <alignment horizontal="left" wrapText="1"/>
      <protection hidden="1"/>
    </xf>
    <xf numFmtId="0" fontId="0" fillId="41" borderId="10" xfId="0" applyFill="1" applyBorder="1" applyAlignment="1">
      <alignment horizontal="left" vertical="center"/>
    </xf>
    <xf numFmtId="0" fontId="0" fillId="41" borderId="10" xfId="0" applyFill="1" applyBorder="1" applyAlignment="1">
      <alignment horizontal="left"/>
    </xf>
    <xf numFmtId="0" fontId="0" fillId="41" borderId="10" xfId="0" applyFill="1" applyBorder="1" applyAlignment="1">
      <alignment horizontal="left" wrapText="1"/>
    </xf>
    <xf numFmtId="0" fontId="0" fillId="41" borderId="10" xfId="0" applyFill="1" applyBorder="1" applyAlignment="1">
      <alignment wrapText="1"/>
    </xf>
    <xf numFmtId="0" fontId="0" fillId="41" borderId="10" xfId="0" applyFill="1" applyBorder="1"/>
    <xf numFmtId="0" fontId="3" fillId="41" borderId="10" xfId="0" applyFont="1" applyFill="1" applyBorder="1" applyAlignment="1">
      <alignment horizontal="left"/>
    </xf>
    <xf numFmtId="0" fontId="3" fillId="41" borderId="10" xfId="0" applyFont="1" applyFill="1" applyBorder="1" applyAlignment="1">
      <alignment horizontal="left" wrapText="1"/>
    </xf>
    <xf numFmtId="0" fontId="0" fillId="42" borderId="10" xfId="0" applyFill="1" applyBorder="1" applyAlignment="1">
      <alignment horizontal="left" vertical="center"/>
    </xf>
    <xf numFmtId="0" fontId="0" fillId="42" borderId="10" xfId="0" applyFill="1" applyBorder="1" applyAlignment="1">
      <alignment horizontal="left"/>
    </xf>
    <xf numFmtId="0" fontId="31" fillId="42" borderId="10" xfId="0" applyFont="1" applyFill="1" applyBorder="1" applyAlignment="1" applyProtection="1">
      <alignment horizontal="left" wrapText="1"/>
      <protection hidden="1"/>
    </xf>
    <xf numFmtId="0" fontId="0" fillId="42" borderId="10" xfId="0" applyFill="1" applyBorder="1" applyAlignment="1">
      <alignment wrapText="1"/>
    </xf>
    <xf numFmtId="0" fontId="0" fillId="42" borderId="10" xfId="0" applyFill="1" applyBorder="1"/>
    <xf numFmtId="0" fontId="0" fillId="42" borderId="10" xfId="0" applyFill="1" applyBorder="1" applyAlignment="1">
      <alignment horizontal="left" wrapText="1"/>
    </xf>
    <xf numFmtId="0" fontId="3" fillId="42" borderId="10" xfId="0" applyFont="1" applyFill="1" applyBorder="1" applyAlignment="1">
      <alignment horizontal="left" vertical="center"/>
    </xf>
    <xf numFmtId="0" fontId="0" fillId="43" borderId="10" xfId="0" applyFill="1" applyBorder="1" applyAlignment="1">
      <alignment horizontal="left" vertical="center"/>
    </xf>
    <xf numFmtId="0" fontId="3" fillId="43" borderId="10" xfId="0" applyFont="1" applyFill="1" applyBorder="1" applyAlignment="1">
      <alignment horizontal="left" vertical="center"/>
    </xf>
    <xf numFmtId="0" fontId="3" fillId="43" borderId="10" xfId="0" applyFont="1" applyFill="1" applyBorder="1" applyAlignment="1">
      <alignment horizontal="left" wrapText="1"/>
    </xf>
    <xf numFmtId="0" fontId="0" fillId="43" borderId="10" xfId="0" applyFill="1" applyBorder="1" applyAlignment="1">
      <alignment wrapText="1"/>
    </xf>
    <xf numFmtId="0" fontId="0" fillId="43" borderId="10" xfId="0" applyFill="1" applyBorder="1"/>
    <xf numFmtId="0" fontId="0" fillId="43" borderId="10" xfId="0" applyFill="1" applyBorder="1" applyAlignment="1">
      <alignment horizontal="left"/>
    </xf>
    <xf numFmtId="0" fontId="0" fillId="43" borderId="10" xfId="0" applyFill="1" applyBorder="1" applyAlignment="1">
      <alignment horizontal="left" wrapText="1"/>
    </xf>
    <xf numFmtId="0" fontId="3" fillId="42" borderId="10" xfId="0" applyFont="1" applyFill="1" applyBorder="1" applyAlignment="1">
      <alignment horizontal="left" vertical="center" wrapText="1"/>
    </xf>
    <xf numFmtId="0" fontId="0" fillId="45" borderId="10" xfId="0" applyFill="1" applyBorder="1" applyAlignment="1">
      <alignment horizontal="left" vertical="center"/>
    </xf>
    <xf numFmtId="0" fontId="3" fillId="45" borderId="10" xfId="0" applyFont="1" applyFill="1" applyBorder="1" applyAlignment="1">
      <alignment horizontal="left" vertical="center"/>
    </xf>
    <xf numFmtId="0" fontId="3" fillId="45" borderId="10" xfId="0" applyFont="1" applyFill="1" applyBorder="1" applyAlignment="1">
      <alignment horizontal="left" vertical="center" wrapText="1"/>
    </xf>
    <xf numFmtId="0" fontId="0" fillId="45" borderId="10" xfId="0" applyFill="1" applyBorder="1" applyAlignment="1">
      <alignment wrapText="1"/>
    </xf>
    <xf numFmtId="0" fontId="0" fillId="45" borderId="10" xfId="0" applyFill="1" applyBorder="1"/>
    <xf numFmtId="0" fontId="0" fillId="45" borderId="10" xfId="0" applyFill="1" applyBorder="1" applyAlignment="1">
      <alignment horizontal="left"/>
    </xf>
    <xf numFmtId="0" fontId="0" fillId="46" borderId="10" xfId="0" applyFill="1" applyBorder="1" applyAlignment="1">
      <alignment horizontal="left" vertical="center"/>
    </xf>
    <xf numFmtId="0" fontId="3" fillId="46" borderId="10" xfId="0" applyFont="1" applyFill="1" applyBorder="1" applyAlignment="1">
      <alignment horizontal="left" vertical="center"/>
    </xf>
    <xf numFmtId="0" fontId="3" fillId="46" borderId="10" xfId="0" applyFont="1" applyFill="1" applyBorder="1" applyAlignment="1">
      <alignment horizontal="left" vertical="center" wrapText="1"/>
    </xf>
    <xf numFmtId="0" fontId="0" fillId="46" borderId="10" xfId="0" applyFill="1" applyBorder="1" applyAlignment="1">
      <alignment wrapText="1"/>
    </xf>
    <xf numFmtId="0" fontId="0" fillId="46" borderId="10" xfId="0" applyFill="1" applyBorder="1"/>
    <xf numFmtId="0" fontId="0" fillId="46" borderId="10" xfId="0" applyFill="1" applyBorder="1" applyAlignment="1">
      <alignment horizontal="left"/>
    </xf>
    <xf numFmtId="0" fontId="0" fillId="46" borderId="10" xfId="0" applyFill="1" applyBorder="1" applyAlignment="1">
      <alignment horizontal="left" wrapText="1"/>
    </xf>
    <xf numFmtId="0" fontId="31" fillId="42" borderId="10" xfId="0" applyFont="1" applyFill="1" applyBorder="1" applyAlignment="1" applyProtection="1">
      <alignment horizontal="left"/>
      <protection hidden="1"/>
    </xf>
    <xf numFmtId="0" fontId="0" fillId="47" borderId="10" xfId="0" applyFill="1" applyBorder="1" applyAlignment="1">
      <alignment horizontal="left" vertical="center"/>
    </xf>
    <xf numFmtId="0" fontId="3" fillId="47" borderId="10" xfId="0" applyFont="1" applyFill="1" applyBorder="1" applyAlignment="1">
      <alignment horizontal="left" vertical="center"/>
    </xf>
    <xf numFmtId="0" fontId="3" fillId="47" borderId="10" xfId="0" applyFont="1" applyFill="1" applyBorder="1" applyAlignment="1">
      <alignment horizontal="left" vertical="center" wrapText="1"/>
    </xf>
    <xf numFmtId="0" fontId="0" fillId="47" borderId="10" xfId="0" applyFill="1" applyBorder="1" applyAlignment="1">
      <alignment wrapText="1"/>
    </xf>
    <xf numFmtId="0" fontId="0" fillId="47" borderId="10" xfId="0" applyFill="1" applyBorder="1"/>
    <xf numFmtId="0" fontId="31" fillId="47" borderId="10" xfId="0" applyFont="1" applyFill="1" applyBorder="1" applyAlignment="1" applyProtection="1">
      <alignment horizontal="left"/>
      <protection hidden="1"/>
    </xf>
    <xf numFmtId="0" fontId="31" fillId="47" borderId="10" xfId="0" applyFont="1" applyFill="1" applyBorder="1" applyAlignment="1" applyProtection="1">
      <alignment horizontal="left" wrapText="1"/>
      <protection hidden="1"/>
    </xf>
    <xf numFmtId="0" fontId="3" fillId="41" borderId="10" xfId="0" applyFont="1" applyFill="1" applyBorder="1" applyAlignment="1">
      <alignment horizontal="left" vertical="center"/>
    </xf>
    <xf numFmtId="0" fontId="0" fillId="48" borderId="10" xfId="0" applyFill="1" applyBorder="1" applyAlignment="1">
      <alignment horizontal="left" vertical="center"/>
    </xf>
    <xf numFmtId="0" fontId="0" fillId="48" borderId="10" xfId="0" applyFill="1" applyBorder="1" applyAlignment="1">
      <alignment horizontal="left"/>
    </xf>
    <xf numFmtId="0" fontId="31" fillId="48" borderId="10" xfId="0" applyFont="1" applyFill="1" applyBorder="1" applyAlignment="1" applyProtection="1">
      <alignment horizontal="left"/>
      <protection hidden="1"/>
    </xf>
    <xf numFmtId="0" fontId="31" fillId="48" borderId="10" xfId="0" applyFont="1" applyFill="1" applyBorder="1" applyAlignment="1" applyProtection="1">
      <alignment horizontal="left" wrapText="1"/>
      <protection hidden="1"/>
    </xf>
    <xf numFmtId="0" fontId="0" fillId="48" borderId="10" xfId="0" applyFill="1" applyBorder="1" applyAlignment="1">
      <alignment wrapText="1"/>
    </xf>
    <xf numFmtId="0" fontId="0" fillId="48" borderId="10" xfId="0" applyFill="1" applyBorder="1"/>
    <xf numFmtId="0" fontId="0" fillId="49" borderId="10" xfId="0" applyFill="1" applyBorder="1" applyAlignment="1">
      <alignment horizontal="left" vertical="center"/>
    </xf>
    <xf numFmtId="0" fontId="3" fillId="49" borderId="10" xfId="0" applyFont="1" applyFill="1" applyBorder="1" applyAlignment="1">
      <alignment horizontal="left" vertical="center"/>
    </xf>
    <xf numFmtId="0" fontId="3" fillId="49" borderId="10" xfId="0" applyFont="1" applyFill="1" applyBorder="1" applyAlignment="1">
      <alignment horizontal="left" vertical="center" wrapText="1"/>
    </xf>
    <xf numFmtId="0" fontId="0" fillId="49" borderId="10" xfId="0" applyFill="1" applyBorder="1" applyAlignment="1">
      <alignment wrapText="1"/>
    </xf>
    <xf numFmtId="0" fontId="0" fillId="49" borderId="10" xfId="0" applyFill="1" applyBorder="1"/>
    <xf numFmtId="0" fontId="0" fillId="50" borderId="10" xfId="0" applyFill="1" applyBorder="1" applyAlignment="1">
      <alignment horizontal="left" vertical="center"/>
    </xf>
    <xf numFmtId="0" fontId="0" fillId="50" borderId="10" xfId="0" applyFill="1" applyBorder="1" applyAlignment="1">
      <alignment horizontal="left"/>
    </xf>
    <xf numFmtId="0" fontId="0" fillId="50" borderId="10" xfId="0" applyFill="1" applyBorder="1" applyAlignment="1">
      <alignment horizontal="left" wrapText="1"/>
    </xf>
    <xf numFmtId="0" fontId="0" fillId="50" borderId="10" xfId="0" applyFill="1" applyBorder="1" applyAlignment="1">
      <alignment wrapText="1"/>
    </xf>
    <xf numFmtId="0" fontId="0" fillId="50" borderId="10" xfId="0" applyFill="1" applyBorder="1"/>
    <xf numFmtId="0" fontId="3" fillId="0" borderId="0" xfId="0" applyFont="1" applyAlignment="1">
      <alignment wrapText="1"/>
    </xf>
    <xf numFmtId="0" fontId="0" fillId="0" borderId="0" xfId="0" applyAlignment="1">
      <alignment horizontal="left"/>
    </xf>
    <xf numFmtId="0" fontId="0" fillId="0" borderId="0" xfId="0" applyAlignment="1">
      <alignment vertical="center"/>
    </xf>
    <xf numFmtId="0" fontId="3" fillId="0" borderId="0" xfId="0" applyFont="1" applyAlignment="1">
      <alignment vertical="center"/>
    </xf>
    <xf numFmtId="0" fontId="3" fillId="0" borderId="0" xfId="0" applyFont="1" applyAlignment="1">
      <alignment horizontal="left" vertical="center" indent="1"/>
    </xf>
    <xf numFmtId="0" fontId="0" fillId="0" borderId="0" xfId="0" applyAlignment="1">
      <alignment horizontal="left" vertical="center" indent="2"/>
    </xf>
    <xf numFmtId="0" fontId="0" fillId="0" borderId="0" xfId="0" applyAlignment="1">
      <alignment horizontal="left" vertical="center"/>
    </xf>
    <xf numFmtId="164" fontId="0" fillId="0" borderId="0" xfId="56" applyFont="1"/>
    <xf numFmtId="16" fontId="0" fillId="0" borderId="0" xfId="0" applyNumberFormat="1"/>
    <xf numFmtId="0" fontId="3" fillId="0" borderId="0" xfId="0" applyFont="1"/>
    <xf numFmtId="49" fontId="0" fillId="0" borderId="0" xfId="0" applyNumberFormat="1"/>
    <xf numFmtId="0" fontId="3" fillId="39" borderId="10" xfId="0" applyFont="1" applyFill="1" applyBorder="1" applyAlignment="1">
      <alignment horizontal="left" vertical="center" wrapText="1"/>
    </xf>
    <xf numFmtId="0" fontId="0" fillId="44" borderId="0" xfId="0" applyFill="1"/>
    <xf numFmtId="0" fontId="0" fillId="0" borderId="10" xfId="0" applyBorder="1" applyAlignment="1">
      <alignment horizontal="left" vertical="center"/>
    </xf>
    <xf numFmtId="0" fontId="0" fillId="0" borderId="10" xfId="0" applyBorder="1" applyAlignment="1">
      <alignment horizontal="left" vertical="center" wrapText="1"/>
    </xf>
    <xf numFmtId="0" fontId="0" fillId="0" borderId="10" xfId="0" applyBorder="1" applyAlignment="1">
      <alignment wrapText="1"/>
    </xf>
    <xf numFmtId="0" fontId="0" fillId="0" borderId="10" xfId="0" applyBorder="1"/>
    <xf numFmtId="0" fontId="3" fillId="0" borderId="10" xfId="0" applyFont="1" applyBorder="1" applyAlignment="1">
      <alignment horizontal="left" vertical="center"/>
    </xf>
    <xf numFmtId="0" fontId="3" fillId="0" borderId="10" xfId="0" applyFont="1" applyBorder="1" applyAlignment="1">
      <alignment horizontal="left" vertical="center" wrapText="1"/>
    </xf>
    <xf numFmtId="0" fontId="3" fillId="0" borderId="10" xfId="0" applyFont="1" applyBorder="1" applyAlignment="1">
      <alignment wrapText="1"/>
    </xf>
    <xf numFmtId="0" fontId="0" fillId="47" borderId="10" xfId="0" applyFill="1" applyBorder="1" applyAlignment="1">
      <alignment horizontal="left" vertical="center" wrapText="1"/>
    </xf>
    <xf numFmtId="0" fontId="3" fillId="47" borderId="10" xfId="0" applyFont="1" applyFill="1" applyBorder="1" applyAlignment="1">
      <alignment wrapText="1"/>
    </xf>
    <xf numFmtId="0" fontId="0" fillId="47" borderId="10" xfId="0" applyFill="1" applyBorder="1" applyAlignment="1">
      <alignment horizontal="left"/>
    </xf>
    <xf numFmtId="49" fontId="0" fillId="48" borderId="10" xfId="0" applyNumberFormat="1" applyFill="1" applyBorder="1" applyAlignment="1">
      <alignment horizontal="left" wrapText="1"/>
    </xf>
    <xf numFmtId="0" fontId="3" fillId="0" borderId="0" xfId="0" applyFont="1" applyAlignment="1">
      <alignment horizontal="left" vertical="center" indent="2"/>
    </xf>
    <xf numFmtId="49" fontId="3" fillId="0" borderId="0" xfId="0" applyNumberFormat="1" applyFont="1"/>
    <xf numFmtId="0" fontId="24" fillId="0" borderId="25" xfId="0" applyFont="1" applyBorder="1"/>
    <xf numFmtId="0" fontId="31" fillId="0" borderId="0" xfId="0" applyFont="1" applyAlignment="1" applyProtection="1">
      <alignment horizontal="left"/>
      <protection hidden="1"/>
    </xf>
    <xf numFmtId="0" fontId="32" fillId="0" borderId="0" xfId="0" applyFont="1" applyAlignment="1" applyProtection="1">
      <alignment horizontal="left"/>
      <protection hidden="1"/>
    </xf>
    <xf numFmtId="2" fontId="0" fillId="0" borderId="0" xfId="0" applyNumberFormat="1"/>
    <xf numFmtId="9" fontId="0" fillId="0" borderId="0" xfId="0" applyNumberFormat="1"/>
    <xf numFmtId="2" fontId="0" fillId="0" borderId="15" xfId="0" applyNumberFormat="1" applyBorder="1" applyAlignment="1">
      <alignment horizontal="center" vertical="center"/>
    </xf>
    <xf numFmtId="2" fontId="0" fillId="0" borderId="16" xfId="0" applyNumberFormat="1" applyBorder="1" applyAlignment="1">
      <alignment horizontal="center" vertical="center"/>
    </xf>
    <xf numFmtId="9" fontId="0" fillId="0" borderId="0" xfId="60" applyFont="1"/>
    <xf numFmtId="9" fontId="0" fillId="0" borderId="17" xfId="60" applyFont="1" applyBorder="1"/>
    <xf numFmtId="9" fontId="0" fillId="0" borderId="18" xfId="60" applyFont="1" applyBorder="1"/>
    <xf numFmtId="9" fontId="0" fillId="0" borderId="19" xfId="60" applyFont="1" applyBorder="1"/>
    <xf numFmtId="167" fontId="0" fillId="0" borderId="0" xfId="56" applyNumberFormat="1" applyFont="1" applyBorder="1"/>
    <xf numFmtId="167" fontId="41" fillId="0" borderId="0" xfId="56" applyNumberFormat="1" applyFont="1" applyBorder="1"/>
    <xf numFmtId="167" fontId="41" fillId="0" borderId="0" xfId="56" applyNumberFormat="1" applyFont="1" applyBorder="1" applyAlignment="1"/>
    <xf numFmtId="164" fontId="0" fillId="0" borderId="0" xfId="56" applyFont="1" applyBorder="1"/>
    <xf numFmtId="0" fontId="0" fillId="0" borderId="0" xfId="0" applyBorder="1"/>
    <xf numFmtId="167" fontId="0" fillId="51" borderId="0" xfId="56" applyNumberFormat="1" applyFont="1" applyFill="1" applyBorder="1"/>
    <xf numFmtId="167" fontId="0" fillId="52" borderId="0" xfId="56" applyNumberFormat="1" applyFont="1" applyFill="1" applyBorder="1"/>
    <xf numFmtId="168" fontId="42" fillId="53" borderId="28" xfId="0" applyNumberFormat="1" applyFont="1" applyFill="1" applyBorder="1" applyAlignment="1">
      <alignment horizontal="center"/>
    </xf>
    <xf numFmtId="38" fontId="43" fillId="53" borderId="27" xfId="0" applyNumberFormat="1" applyFont="1" applyFill="1" applyBorder="1" applyAlignment="1">
      <alignment horizontal="center"/>
    </xf>
    <xf numFmtId="167" fontId="44" fillId="54" borderId="29" xfId="0" applyNumberFormat="1" applyFont="1" applyFill="1" applyBorder="1"/>
    <xf numFmtId="169" fontId="40" fillId="0" borderId="26" xfId="0" applyNumberFormat="1" applyFont="1" applyBorder="1" applyAlignment="1">
      <alignment horizontal="center"/>
    </xf>
    <xf numFmtId="164" fontId="0" fillId="0" borderId="0" xfId="0" applyNumberFormat="1"/>
    <xf numFmtId="0" fontId="0" fillId="0" borderId="25" xfId="0" applyBorder="1"/>
    <xf numFmtId="0" fontId="0" fillId="0" borderId="0" xfId="0" applyAlignment="1">
      <alignment horizontal="right" vertical="center"/>
    </xf>
    <xf numFmtId="0" fontId="0" fillId="0" borderId="35" xfId="0" applyBorder="1"/>
    <xf numFmtId="0" fontId="0" fillId="0" borderId="36" xfId="0" applyBorder="1" applyAlignment="1">
      <alignment horizontal="right" vertical="center"/>
    </xf>
    <xf numFmtId="0" fontId="0" fillId="55" borderId="35" xfId="0" applyFill="1" applyBorder="1"/>
    <xf numFmtId="0" fontId="0" fillId="55" borderId="36" xfId="0" applyFill="1" applyBorder="1" applyAlignment="1">
      <alignment horizontal="right" vertical="center"/>
    </xf>
    <xf numFmtId="0" fontId="3" fillId="0" borderId="25" xfId="0" applyFont="1" applyBorder="1"/>
    <xf numFmtId="0" fontId="3" fillId="0" borderId="36" xfId="0" applyFont="1" applyBorder="1" applyAlignment="1">
      <alignment horizontal="right" vertical="center"/>
    </xf>
    <xf numFmtId="0" fontId="0" fillId="0" borderId="33" xfId="0" applyBorder="1"/>
    <xf numFmtId="0" fontId="0" fillId="0" borderId="34" xfId="0" applyBorder="1" applyAlignment="1">
      <alignment horizontal="right" vertical="center"/>
    </xf>
    <xf numFmtId="0" fontId="0" fillId="55" borderId="33" xfId="0" applyFill="1" applyBorder="1"/>
    <xf numFmtId="0" fontId="0" fillId="55" borderId="34" xfId="0" applyFill="1" applyBorder="1" applyAlignment="1">
      <alignment horizontal="right" vertical="center"/>
    </xf>
    <xf numFmtId="0" fontId="0" fillId="56" borderId="35" xfId="0" applyFill="1" applyBorder="1"/>
    <xf numFmtId="0" fontId="0" fillId="56" borderId="36" xfId="0" applyFill="1" applyBorder="1" applyAlignment="1">
      <alignment horizontal="right" vertical="center"/>
    </xf>
    <xf numFmtId="0" fontId="0" fillId="0" borderId="37" xfId="0" applyBorder="1"/>
    <xf numFmtId="0" fontId="0" fillId="0" borderId="38" xfId="0" applyBorder="1" applyAlignment="1">
      <alignment horizontal="right" vertical="center"/>
    </xf>
    <xf numFmtId="0" fontId="45" fillId="0" borderId="0" xfId="0" applyFont="1" applyAlignment="1">
      <alignment horizontal="center"/>
    </xf>
    <xf numFmtId="38" fontId="45" fillId="0" borderId="27" xfId="0" applyNumberFormat="1" applyFont="1" applyBorder="1" applyAlignment="1">
      <alignment horizontal="center"/>
    </xf>
    <xf numFmtId="10" fontId="45" fillId="0" borderId="0" xfId="0" applyNumberFormat="1" applyFont="1" applyAlignment="1">
      <alignment horizontal="center"/>
    </xf>
    <xf numFmtId="0" fontId="45" fillId="0" borderId="40" xfId="0" applyFont="1" applyBorder="1" applyAlignment="1">
      <alignment horizontal="left"/>
    </xf>
    <xf numFmtId="0" fontId="45" fillId="0" borderId="0" xfId="0" applyFont="1" applyAlignment="1">
      <alignment horizontal="left"/>
    </xf>
    <xf numFmtId="0" fontId="45" fillId="0" borderId="41" xfId="0" applyFont="1" applyBorder="1" applyAlignment="1">
      <alignment horizontal="center"/>
    </xf>
    <xf numFmtId="170" fontId="45" fillId="0" borderId="0" xfId="0" applyNumberFormat="1" applyFont="1" applyAlignment="1">
      <alignment horizontal="center" vertical="center"/>
    </xf>
    <xf numFmtId="0" fontId="45" fillId="0" borderId="42" xfId="0" applyFont="1" applyBorder="1" applyAlignment="1">
      <alignment horizontal="left"/>
    </xf>
    <xf numFmtId="0" fontId="45" fillId="0" borderId="43" xfId="0" applyFont="1" applyBorder="1" applyAlignment="1">
      <alignment horizontal="left"/>
    </xf>
    <xf numFmtId="0" fontId="45" fillId="0" borderId="44" xfId="0" applyFont="1" applyBorder="1" applyAlignment="1">
      <alignment horizontal="center"/>
    </xf>
    <xf numFmtId="38" fontId="45" fillId="0" borderId="44" xfId="0" applyNumberFormat="1" applyFont="1" applyBorder="1" applyAlignment="1">
      <alignment horizontal="center"/>
    </xf>
    <xf numFmtId="38" fontId="45" fillId="57" borderId="44" xfId="0" applyNumberFormat="1" applyFont="1" applyFill="1" applyBorder="1" applyAlignment="1">
      <alignment horizontal="center"/>
    </xf>
    <xf numFmtId="0" fontId="45" fillId="0" borderId="41" xfId="0" applyFont="1" applyBorder="1" applyAlignment="1">
      <alignment horizontal="left"/>
    </xf>
    <xf numFmtId="171" fontId="45" fillId="0" borderId="0" xfId="0" applyNumberFormat="1" applyFont="1" applyAlignment="1">
      <alignment horizontal="center"/>
    </xf>
    <xf numFmtId="0" fontId="45" fillId="0" borderId="46" xfId="0" applyFont="1" applyBorder="1" applyAlignment="1">
      <alignment horizontal="left"/>
    </xf>
    <xf numFmtId="0" fontId="45" fillId="0" borderId="47" xfId="0" applyFont="1" applyBorder="1" applyAlignment="1">
      <alignment horizontal="left"/>
    </xf>
    <xf numFmtId="0" fontId="45" fillId="0" borderId="39" xfId="0" applyFont="1" applyBorder="1" applyAlignment="1">
      <alignment horizontal="left"/>
    </xf>
    <xf numFmtId="0" fontId="45" fillId="0" borderId="47" xfId="0" applyFont="1" applyBorder="1" applyAlignment="1">
      <alignment horizontal="center"/>
    </xf>
    <xf numFmtId="0" fontId="45" fillId="57" borderId="47" xfId="0" applyFont="1" applyFill="1" applyBorder="1" applyAlignment="1">
      <alignment horizontal="center"/>
    </xf>
    <xf numFmtId="0" fontId="45" fillId="57" borderId="28" xfId="0" applyFont="1" applyFill="1" applyBorder="1" applyAlignment="1">
      <alignment horizontal="center"/>
    </xf>
    <xf numFmtId="171" fontId="45" fillId="57" borderId="39" xfId="0" applyNumberFormat="1" applyFont="1" applyFill="1" applyBorder="1" applyAlignment="1">
      <alignment horizontal="center"/>
    </xf>
    <xf numFmtId="0" fontId="45" fillId="0" borderId="28" xfId="0" applyFont="1" applyBorder="1" applyAlignment="1">
      <alignment horizontal="center"/>
    </xf>
    <xf numFmtId="171" fontId="45" fillId="0" borderId="39" xfId="0" applyNumberFormat="1" applyFont="1" applyBorder="1" applyAlignment="1">
      <alignment horizontal="center"/>
    </xf>
    <xf numFmtId="0" fontId="45" fillId="0" borderId="0" xfId="0" applyFont="1"/>
    <xf numFmtId="167" fontId="45" fillId="0" borderId="0" xfId="0" applyNumberFormat="1" applyFont="1"/>
    <xf numFmtId="167" fontId="45" fillId="57" borderId="0" xfId="0" applyNumberFormat="1" applyFont="1" applyFill="1"/>
    <xf numFmtId="167" fontId="45" fillId="57" borderId="29" xfId="0" applyNumberFormat="1" applyFont="1" applyFill="1" applyBorder="1"/>
    <xf numFmtId="171" fontId="45" fillId="57" borderId="48" xfId="0" applyNumberFormat="1" applyFont="1" applyFill="1" applyBorder="1"/>
    <xf numFmtId="167" fontId="45" fillId="0" borderId="29" xfId="0" applyNumberFormat="1" applyFont="1" applyBorder="1"/>
    <xf numFmtId="171" fontId="45" fillId="0" borderId="48" xfId="0" applyNumberFormat="1" applyFont="1" applyBorder="1"/>
    <xf numFmtId="171" fontId="45" fillId="0" borderId="0" xfId="0" applyNumberFormat="1" applyFont="1"/>
    <xf numFmtId="0" fontId="45" fillId="0" borderId="41" xfId="0" applyFont="1" applyBorder="1" applyAlignment="1">
      <alignment horizontal="right"/>
    </xf>
    <xf numFmtId="172" fontId="45" fillId="0" borderId="41" xfId="0" applyNumberFormat="1" applyFont="1" applyBorder="1"/>
    <xf numFmtId="172" fontId="45" fillId="57" borderId="41" xfId="0" applyNumberFormat="1" applyFont="1" applyFill="1" applyBorder="1"/>
    <xf numFmtId="172" fontId="45" fillId="0" borderId="0" xfId="0" applyNumberFormat="1" applyFont="1"/>
    <xf numFmtId="10" fontId="45" fillId="0" borderId="41" xfId="0" applyNumberFormat="1" applyFont="1" applyBorder="1"/>
    <xf numFmtId="10" fontId="45" fillId="57" borderId="41" xfId="0" applyNumberFormat="1" applyFont="1" applyFill="1" applyBorder="1"/>
    <xf numFmtId="173" fontId="45" fillId="0" borderId="46" xfId="0" applyNumberFormat="1" applyFont="1" applyBorder="1" applyAlignment="1">
      <alignment horizontal="left"/>
    </xf>
    <xf numFmtId="173" fontId="45" fillId="0" borderId="47" xfId="0" applyNumberFormat="1" applyFont="1" applyBorder="1" applyAlignment="1">
      <alignment horizontal="left"/>
    </xf>
    <xf numFmtId="173" fontId="45" fillId="0" borderId="39" xfId="0" applyNumberFormat="1" applyFont="1" applyBorder="1" applyAlignment="1">
      <alignment horizontal="left"/>
    </xf>
    <xf numFmtId="168" fontId="45" fillId="0" borderId="28" xfId="0" applyNumberFormat="1" applyFont="1" applyBorder="1" applyAlignment="1">
      <alignment vertical="center"/>
    </xf>
    <xf numFmtId="174" fontId="45" fillId="0" borderId="39" xfId="0" applyNumberFormat="1" applyFont="1" applyBorder="1" applyAlignment="1">
      <alignment vertical="center"/>
    </xf>
    <xf numFmtId="168" fontId="45" fillId="57" borderId="28" xfId="0" applyNumberFormat="1" applyFont="1" applyFill="1" applyBorder="1" applyAlignment="1">
      <alignment vertical="center"/>
    </xf>
    <xf numFmtId="174" fontId="45" fillId="57" borderId="39" xfId="0" applyNumberFormat="1" applyFont="1" applyFill="1" applyBorder="1" applyAlignment="1">
      <alignment vertical="center"/>
    </xf>
    <xf numFmtId="10" fontId="45" fillId="0" borderId="39" xfId="0" applyNumberFormat="1" applyFont="1" applyBorder="1" applyAlignment="1">
      <alignment vertical="center"/>
    </xf>
    <xf numFmtId="173" fontId="45" fillId="0" borderId="0" xfId="0" applyNumberFormat="1" applyFont="1" applyAlignment="1">
      <alignment vertical="center"/>
    </xf>
    <xf numFmtId="0" fontId="45" fillId="0" borderId="40" xfId="0" applyFont="1" applyBorder="1"/>
    <xf numFmtId="4" fontId="45" fillId="0" borderId="29" xfId="0" applyNumberFormat="1" applyFont="1" applyBorder="1"/>
    <xf numFmtId="4" fontId="45" fillId="57" borderId="29" xfId="0" applyNumberFormat="1" applyFont="1" applyFill="1" applyBorder="1"/>
    <xf numFmtId="0" fontId="45" fillId="0" borderId="41" xfId="0" applyFont="1" applyBorder="1"/>
    <xf numFmtId="0" fontId="45" fillId="0" borderId="49" xfId="0" applyFont="1" applyBorder="1"/>
    <xf numFmtId="0" fontId="45" fillId="0" borderId="27" xfId="0" applyFont="1" applyBorder="1" applyAlignment="1">
      <alignment horizontal="right"/>
    </xf>
    <xf numFmtId="167" fontId="45" fillId="0" borderId="27" xfId="0" applyNumberFormat="1" applyFont="1" applyBorder="1" applyAlignment="1">
      <alignment horizontal="right"/>
    </xf>
    <xf numFmtId="172" fontId="45" fillId="0" borderId="27" xfId="0" applyNumberFormat="1" applyFont="1" applyBorder="1" applyAlignment="1">
      <alignment horizontal="right"/>
    </xf>
    <xf numFmtId="167" fontId="45" fillId="57" borderId="27" xfId="0" applyNumberFormat="1" applyFont="1" applyFill="1" applyBorder="1" applyAlignment="1">
      <alignment horizontal="right"/>
    </xf>
    <xf numFmtId="172" fontId="45" fillId="57" borderId="27" xfId="0" applyNumberFormat="1" applyFont="1" applyFill="1" applyBorder="1" applyAlignment="1">
      <alignment horizontal="right"/>
    </xf>
    <xf numFmtId="172" fontId="45" fillId="0" borderId="0" xfId="0" applyNumberFormat="1" applyFont="1" applyAlignment="1">
      <alignment horizontal="right"/>
    </xf>
    <xf numFmtId="172" fontId="45" fillId="0" borderId="0" xfId="0" applyNumberFormat="1" applyFont="1" applyAlignment="1">
      <alignment vertical="center"/>
    </xf>
    <xf numFmtId="167" fontId="45" fillId="0" borderId="47" xfId="0" applyNumberFormat="1" applyFont="1" applyBorder="1" applyAlignment="1">
      <alignment vertical="center"/>
    </xf>
    <xf numFmtId="172" fontId="45" fillId="0" borderId="39" xfId="0" applyNumberFormat="1" applyFont="1" applyBorder="1" applyAlignment="1">
      <alignment vertical="center"/>
    </xf>
    <xf numFmtId="167" fontId="45" fillId="57" borderId="47" xfId="0" applyNumberFormat="1" applyFont="1" applyFill="1" applyBorder="1" applyAlignment="1">
      <alignment vertical="center"/>
    </xf>
    <xf numFmtId="172" fontId="45" fillId="57" borderId="39" xfId="0" applyNumberFormat="1" applyFont="1" applyFill="1" applyBorder="1" applyAlignment="1">
      <alignment vertical="center"/>
    </xf>
    <xf numFmtId="0" fontId="45" fillId="0" borderId="39" xfId="0" applyFont="1" applyBorder="1" applyAlignment="1">
      <alignment horizontal="right" vertical="center"/>
    </xf>
    <xf numFmtId="0" fontId="50" fillId="0" borderId="40" xfId="0" applyFont="1" applyBorder="1" applyAlignment="1">
      <alignment horizontal="right"/>
    </xf>
    <xf numFmtId="167" fontId="51" fillId="0" borderId="0" xfId="0" applyNumberFormat="1" applyFont="1"/>
    <xf numFmtId="167" fontId="51" fillId="57" borderId="0" xfId="0" applyNumberFormat="1" applyFont="1" applyFill="1"/>
    <xf numFmtId="0" fontId="50" fillId="0" borderId="0" xfId="0" applyFont="1" applyAlignment="1">
      <alignment horizontal="right"/>
    </xf>
    <xf numFmtId="167" fontId="45" fillId="0" borderId="28" xfId="0" applyNumberFormat="1" applyFont="1" applyBorder="1" applyAlignment="1">
      <alignment horizontal="right"/>
    </xf>
    <xf numFmtId="167" fontId="45" fillId="57" borderId="28" xfId="0" applyNumberFormat="1" applyFont="1" applyFill="1" applyBorder="1" applyAlignment="1">
      <alignment horizontal="right"/>
    </xf>
    <xf numFmtId="172" fontId="45" fillId="57" borderId="39" xfId="0" applyNumberFormat="1" applyFont="1" applyFill="1" applyBorder="1" applyAlignment="1">
      <alignment horizontal="right"/>
    </xf>
    <xf numFmtId="172" fontId="45" fillId="0" borderId="39" xfId="0" applyNumberFormat="1" applyFont="1" applyBorder="1" applyAlignment="1">
      <alignment horizontal="right"/>
    </xf>
    <xf numFmtId="0" fontId="45" fillId="0" borderId="40" xfId="0" applyFont="1" applyBorder="1" applyAlignment="1">
      <alignment horizontal="right"/>
    </xf>
    <xf numFmtId="0" fontId="45" fillId="0" borderId="46" xfId="0" applyFont="1" applyBorder="1"/>
    <xf numFmtId="0" fontId="45" fillId="0" borderId="47" xfId="0" applyFont="1" applyBorder="1"/>
    <xf numFmtId="166" fontId="45" fillId="0" borderId="41" xfId="0" applyNumberFormat="1" applyFont="1" applyBorder="1"/>
    <xf numFmtId="166" fontId="45" fillId="57" borderId="41" xfId="0" applyNumberFormat="1" applyFont="1" applyFill="1" applyBorder="1"/>
    <xf numFmtId="167" fontId="45" fillId="0" borderId="28" xfId="0" applyNumberFormat="1" applyFont="1" applyBorder="1" applyAlignment="1">
      <alignment vertical="center"/>
    </xf>
    <xf numFmtId="167" fontId="45" fillId="57" borderId="28" xfId="0" applyNumberFormat="1" applyFont="1" applyFill="1" applyBorder="1" applyAlignment="1">
      <alignment vertical="center"/>
    </xf>
    <xf numFmtId="0" fontId="45" fillId="59" borderId="40" xfId="0" applyFont="1" applyFill="1" applyBorder="1" applyAlignment="1">
      <alignment horizontal="left"/>
    </xf>
    <xf numFmtId="0" fontId="45" fillId="59" borderId="0" xfId="0" applyFont="1" applyFill="1" applyAlignment="1">
      <alignment horizontal="left"/>
    </xf>
    <xf numFmtId="0" fontId="45" fillId="59" borderId="41" xfId="0" applyFont="1" applyFill="1" applyBorder="1" applyAlignment="1">
      <alignment horizontal="right" vertical="center"/>
    </xf>
    <xf numFmtId="167" fontId="45" fillId="59" borderId="0" xfId="0" applyNumberFormat="1" applyFont="1" applyFill="1" applyAlignment="1">
      <alignment vertical="center"/>
    </xf>
    <xf numFmtId="167" fontId="45" fillId="57" borderId="0" xfId="0" applyNumberFormat="1" applyFont="1" applyFill="1" applyAlignment="1">
      <alignment vertical="center"/>
    </xf>
    <xf numFmtId="172" fontId="45" fillId="57" borderId="41" xfId="0" applyNumberFormat="1" applyFont="1" applyFill="1" applyBorder="1" applyAlignment="1">
      <alignment vertical="center"/>
    </xf>
    <xf numFmtId="167" fontId="45" fillId="59" borderId="29" xfId="0" applyNumberFormat="1" applyFont="1" applyFill="1" applyBorder="1" applyAlignment="1">
      <alignment vertical="center"/>
    </xf>
    <xf numFmtId="172" fontId="45" fillId="59" borderId="41" xfId="0" applyNumberFormat="1" applyFont="1" applyFill="1" applyBorder="1" applyAlignment="1">
      <alignment vertical="center"/>
    </xf>
    <xf numFmtId="0" fontId="45" fillId="0" borderId="41" xfId="0" applyFont="1" applyBorder="1" applyAlignment="1">
      <alignment horizontal="right" vertical="center"/>
    </xf>
    <xf numFmtId="167" fontId="45" fillId="0" borderId="0" xfId="0" applyNumberFormat="1" applyFont="1" applyAlignment="1">
      <alignment vertical="center"/>
    </xf>
    <xf numFmtId="167" fontId="45" fillId="57" borderId="29" xfId="0" applyNumberFormat="1" applyFont="1" applyFill="1" applyBorder="1" applyAlignment="1">
      <alignment vertical="center"/>
    </xf>
    <xf numFmtId="167" fontId="45" fillId="0" borderId="29" xfId="0" applyNumberFormat="1" applyFont="1" applyBorder="1" applyAlignment="1">
      <alignment vertical="center"/>
    </xf>
    <xf numFmtId="172" fontId="45" fillId="0" borderId="41" xfId="0" applyNumberFormat="1" applyFont="1" applyBorder="1" applyAlignment="1">
      <alignment vertical="center"/>
    </xf>
    <xf numFmtId="167" fontId="52" fillId="0" borderId="0" xfId="0" applyNumberFormat="1" applyFont="1"/>
    <xf numFmtId="167" fontId="52" fillId="57" borderId="0" xfId="0" applyNumberFormat="1" applyFont="1" applyFill="1"/>
    <xf numFmtId="167" fontId="52" fillId="57" borderId="28" xfId="0" applyNumberFormat="1" applyFont="1" applyFill="1" applyBorder="1"/>
    <xf numFmtId="172" fontId="52" fillId="57" borderId="39" xfId="0" applyNumberFormat="1" applyFont="1" applyFill="1" applyBorder="1"/>
    <xf numFmtId="167" fontId="52" fillId="0" borderId="28" xfId="0" applyNumberFormat="1" applyFont="1" applyBorder="1"/>
    <xf numFmtId="172" fontId="52" fillId="0" borderId="39" xfId="0" applyNumberFormat="1" applyFont="1" applyBorder="1"/>
    <xf numFmtId="172" fontId="52" fillId="0" borderId="0" xfId="0" applyNumberFormat="1" applyFont="1"/>
    <xf numFmtId="0" fontId="45" fillId="0" borderId="0" xfId="0" applyFont="1" applyAlignment="1">
      <alignment horizontal="right"/>
    </xf>
    <xf numFmtId="167" fontId="45" fillId="0" borderId="29" xfId="0" applyNumberFormat="1" applyFont="1" applyBorder="1" applyAlignment="1">
      <alignment horizontal="right"/>
    </xf>
    <xf numFmtId="172" fontId="45" fillId="0" borderId="41" xfId="0" applyNumberFormat="1" applyFont="1" applyBorder="1" applyAlignment="1">
      <alignment horizontal="right"/>
    </xf>
    <xf numFmtId="0" fontId="45" fillId="0" borderId="39" xfId="0" applyFont="1" applyBorder="1"/>
    <xf numFmtId="171" fontId="45" fillId="0" borderId="50" xfId="0" applyNumberFormat="1" applyFont="1" applyBorder="1" applyAlignment="1">
      <alignment vertical="center"/>
    </xf>
    <xf numFmtId="171" fontId="45" fillId="0" borderId="51" xfId="0" applyNumberFormat="1" applyFont="1" applyBorder="1" applyAlignment="1">
      <alignment vertical="center"/>
    </xf>
    <xf numFmtId="171" fontId="45" fillId="0" borderId="52" xfId="0" applyNumberFormat="1" applyFont="1" applyBorder="1" applyAlignment="1">
      <alignment vertical="center"/>
    </xf>
    <xf numFmtId="167" fontId="45" fillId="0" borderId="53" xfId="0" applyNumberFormat="1" applyFont="1" applyBorder="1" applyAlignment="1">
      <alignment vertical="center"/>
    </xf>
    <xf numFmtId="172" fontId="45" fillId="0" borderId="51" xfId="0" applyNumberFormat="1" applyFont="1" applyBorder="1" applyAlignment="1">
      <alignment vertical="center"/>
    </xf>
    <xf numFmtId="167" fontId="45" fillId="57" borderId="53" xfId="0" applyNumberFormat="1" applyFont="1" applyFill="1" applyBorder="1" applyAlignment="1">
      <alignment vertical="center"/>
    </xf>
    <xf numFmtId="172" fontId="45" fillId="57" borderId="51" xfId="0" applyNumberFormat="1" applyFont="1" applyFill="1" applyBorder="1" applyAlignment="1">
      <alignment vertical="center"/>
    </xf>
    <xf numFmtId="0" fontId="45" fillId="0" borderId="29" xfId="0" applyFont="1" applyBorder="1" applyAlignment="1">
      <alignment horizontal="left"/>
    </xf>
    <xf numFmtId="0" fontId="53" fillId="57" borderId="0" xfId="0" applyFont="1" applyFill="1"/>
    <xf numFmtId="0" fontId="45" fillId="0" borderId="54" xfId="0" applyFont="1" applyBorder="1" applyAlignment="1">
      <alignment horizontal="left"/>
    </xf>
    <xf numFmtId="0" fontId="45" fillId="0" borderId="55" xfId="0" applyFont="1" applyBorder="1" applyAlignment="1">
      <alignment horizontal="left"/>
    </xf>
    <xf numFmtId="0" fontId="45" fillId="0" borderId="55" xfId="0" applyFont="1" applyBorder="1" applyAlignment="1">
      <alignment horizontal="right"/>
    </xf>
    <xf numFmtId="0" fontId="54" fillId="0" borderId="56" xfId="0" applyFont="1" applyBorder="1" applyAlignment="1">
      <alignment horizontal="left"/>
    </xf>
    <xf numFmtId="0" fontId="55" fillId="0" borderId="0" xfId="0" applyFont="1" applyAlignment="1">
      <alignment horizontal="left"/>
    </xf>
    <xf numFmtId="0" fontId="3" fillId="0" borderId="0" xfId="0" applyFont="1" applyAlignment="1">
      <alignment horizontal="left" vertical="center"/>
    </xf>
    <xf numFmtId="38" fontId="45" fillId="0" borderId="0" xfId="0" applyNumberFormat="1" applyFont="1" applyAlignment="1">
      <alignment horizontal="center"/>
    </xf>
    <xf numFmtId="0" fontId="0" fillId="0" borderId="0" xfId="0"/>
    <xf numFmtId="9" fontId="45" fillId="0" borderId="0" xfId="0" applyNumberFormat="1" applyFont="1" applyAlignment="1">
      <alignment horizontal="center"/>
    </xf>
    <xf numFmtId="38" fontId="45" fillId="57" borderId="0" xfId="0" applyNumberFormat="1" applyFont="1" applyFill="1" applyAlignment="1">
      <alignment horizontal="center"/>
    </xf>
    <xf numFmtId="168" fontId="45" fillId="0" borderId="0" xfId="0" applyNumberFormat="1" applyFont="1" applyAlignment="1">
      <alignment horizontal="center"/>
    </xf>
    <xf numFmtId="0" fontId="0" fillId="0" borderId="0" xfId="0" applyAlignment="1">
      <alignment horizontal="center"/>
    </xf>
    <xf numFmtId="0" fontId="0" fillId="45" borderId="10" xfId="0" applyFill="1" applyBorder="1" applyAlignment="1">
      <alignment horizontal="left" vertical="center" wrapText="1"/>
    </xf>
    <xf numFmtId="0" fontId="0" fillId="46" borderId="10" xfId="0" applyFill="1" applyBorder="1" applyAlignment="1">
      <alignment horizontal="left" vertical="center" wrapText="1"/>
    </xf>
    <xf numFmtId="0" fontId="0" fillId="51" borderId="0" xfId="0" applyFill="1"/>
    <xf numFmtId="0" fontId="0" fillId="52" borderId="0" xfId="0" applyFill="1"/>
    <xf numFmtId="0" fontId="0" fillId="60" borderId="0" xfId="0" applyFill="1"/>
    <xf numFmtId="167" fontId="0" fillId="60" borderId="0" xfId="56" applyNumberFormat="1" applyFont="1" applyFill="1" applyBorder="1"/>
    <xf numFmtId="0" fontId="0" fillId="0" borderId="0" xfId="0"/>
    <xf numFmtId="38" fontId="45" fillId="0" borderId="0" xfId="0" applyNumberFormat="1" applyFont="1" applyAlignment="1">
      <alignment horizontal="center"/>
    </xf>
    <xf numFmtId="0" fontId="0" fillId="0" borderId="0" xfId="0"/>
    <xf numFmtId="38" fontId="45" fillId="57" borderId="0" xfId="0" applyNumberFormat="1" applyFont="1" applyFill="1" applyAlignment="1">
      <alignment horizontal="center"/>
    </xf>
    <xf numFmtId="168" fontId="45" fillId="0" borderId="0" xfId="0" applyNumberFormat="1" applyFont="1" applyAlignment="1">
      <alignment horizontal="center"/>
    </xf>
    <xf numFmtId="9" fontId="45" fillId="57" borderId="0" xfId="0" applyNumberFormat="1" applyFont="1" applyFill="1" applyAlignment="1">
      <alignment horizontal="center"/>
    </xf>
    <xf numFmtId="9" fontId="45" fillId="0" borderId="0" xfId="0" applyNumberFormat="1" applyFont="1" applyAlignment="1">
      <alignment horizontal="center"/>
    </xf>
    <xf numFmtId="168" fontId="45" fillId="0" borderId="28" xfId="0" applyNumberFormat="1" applyFont="1" applyBorder="1" applyAlignment="1">
      <alignment horizontal="center"/>
    </xf>
    <xf numFmtId="0" fontId="46" fillId="0" borderId="39" xfId="0" applyFont="1" applyBorder="1"/>
    <xf numFmtId="168" fontId="45" fillId="57" borderId="28" xfId="0" applyNumberFormat="1" applyFont="1" applyFill="1" applyBorder="1" applyAlignment="1">
      <alignment horizontal="center"/>
    </xf>
    <xf numFmtId="0" fontId="45" fillId="0" borderId="29" xfId="0" applyFont="1" applyBorder="1" applyAlignment="1">
      <alignment horizontal="center" vertical="center"/>
    </xf>
    <xf numFmtId="0" fontId="46" fillId="0" borderId="41" xfId="0" applyFont="1" applyBorder="1"/>
    <xf numFmtId="170" fontId="45" fillId="0" borderId="29" xfId="0" applyNumberFormat="1" applyFont="1" applyBorder="1" applyAlignment="1">
      <alignment horizontal="center" vertical="center"/>
    </xf>
    <xf numFmtId="0" fontId="45" fillId="57" borderId="29" xfId="0" applyFont="1" applyFill="1" applyBorder="1" applyAlignment="1">
      <alignment horizontal="center" vertical="center"/>
    </xf>
    <xf numFmtId="4" fontId="45" fillId="0" borderId="29" xfId="0" applyNumberFormat="1" applyFont="1" applyBorder="1" applyAlignment="1">
      <alignment horizontal="center" vertical="center"/>
    </xf>
    <xf numFmtId="4" fontId="46" fillId="0" borderId="41" xfId="0" applyNumberFormat="1" applyFont="1" applyBorder="1"/>
    <xf numFmtId="38" fontId="45" fillId="57" borderId="45" xfId="0" applyNumberFormat="1" applyFont="1" applyFill="1" applyBorder="1" applyAlignment="1">
      <alignment horizontal="center"/>
    </xf>
    <xf numFmtId="0" fontId="46" fillId="0" borderId="44" xfId="0" applyFont="1" applyBorder="1"/>
    <xf numFmtId="38" fontId="45" fillId="0" borderId="45" xfId="0" applyNumberFormat="1" applyFont="1" applyBorder="1" applyAlignment="1">
      <alignment horizontal="center"/>
    </xf>
    <xf numFmtId="0" fontId="45" fillId="58" borderId="29" xfId="0" applyFont="1" applyFill="1" applyBorder="1" applyAlignment="1">
      <alignment horizontal="center"/>
    </xf>
    <xf numFmtId="0" fontId="48" fillId="58" borderId="29" xfId="0" applyFont="1" applyFill="1" applyBorder="1" applyAlignment="1">
      <alignment horizontal="center" vertical="center" wrapText="1"/>
    </xf>
    <xf numFmtId="0" fontId="49" fillId="58" borderId="29" xfId="0" applyFont="1" applyFill="1" applyBorder="1" applyAlignment="1">
      <alignment horizontal="center" vertical="center" wrapText="1"/>
    </xf>
    <xf numFmtId="0" fontId="47" fillId="58" borderId="29" xfId="0" applyFont="1" applyFill="1" applyBorder="1" applyAlignment="1">
      <alignment horizontal="center" vertical="center" wrapText="1"/>
    </xf>
    <xf numFmtId="0" fontId="47" fillId="57" borderId="29" xfId="0" applyFont="1" applyFill="1" applyBorder="1" applyAlignment="1">
      <alignment horizontal="center" vertical="center" wrapText="1"/>
    </xf>
    <xf numFmtId="0" fontId="3" fillId="0" borderId="30" xfId="0" applyFont="1" applyBorder="1" applyAlignment="1">
      <alignment horizontal="left" vertical="center"/>
    </xf>
    <xf numFmtId="0" fontId="3" fillId="0" borderId="15" xfId="0" applyFont="1" applyBorder="1" applyAlignment="1">
      <alignment horizontal="left" vertical="center"/>
    </xf>
    <xf numFmtId="0" fontId="3" fillId="0" borderId="25" xfId="0" applyFont="1" applyBorder="1" applyAlignment="1">
      <alignment horizontal="left" vertical="center"/>
    </xf>
    <xf numFmtId="0" fontId="3" fillId="0" borderId="0" xfId="0" applyFont="1" applyAlignment="1">
      <alignment horizontal="left" vertical="center"/>
    </xf>
    <xf numFmtId="0" fontId="3" fillId="0" borderId="31" xfId="0" applyFont="1" applyBorder="1" applyAlignment="1">
      <alignment horizontal="left" vertical="center"/>
    </xf>
    <xf numFmtId="0" fontId="3" fillId="0" borderId="32" xfId="0" applyFont="1" applyBorder="1" applyAlignment="1">
      <alignment horizontal="left" vertical="center"/>
    </xf>
    <xf numFmtId="0" fontId="3" fillId="0" borderId="33" xfId="0" applyFont="1" applyBorder="1" applyAlignment="1">
      <alignment horizontal="left" vertical="center"/>
    </xf>
    <xf numFmtId="0" fontId="3" fillId="0" borderId="34" xfId="0" applyFont="1" applyBorder="1" applyAlignment="1">
      <alignment horizontal="left" vertical="center"/>
    </xf>
    <xf numFmtId="0" fontId="38" fillId="35" borderId="11" xfId="57" applyFont="1" applyFill="1" applyBorder="1" applyAlignment="1">
      <alignment horizontal="center" vertical="center"/>
    </xf>
    <xf numFmtId="0" fontId="38" fillId="35" borderId="13" xfId="57" applyFont="1" applyFill="1" applyBorder="1" applyAlignment="1">
      <alignment horizontal="center" vertical="center"/>
    </xf>
    <xf numFmtId="0" fontId="33" fillId="33" borderId="12" xfId="0" applyFont="1" applyFill="1" applyBorder="1" applyAlignment="1">
      <alignment horizontal="center" vertical="center"/>
    </xf>
    <xf numFmtId="0" fontId="34" fillId="34" borderId="10" xfId="0" applyFont="1" applyFill="1" applyBorder="1" applyAlignment="1">
      <alignment horizontal="center" vertical="center"/>
    </xf>
    <xf numFmtId="0" fontId="5" fillId="0" borderId="0" xfId="0" applyFont="1" applyFill="1" applyBorder="1" applyAlignment="1">
      <alignment horizontal="center" vertical="center" wrapText="1"/>
    </xf>
  </cellXfs>
  <cellStyles count="61">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2" xfId="25" builtinId="33" customBuiltin="1"/>
    <cellStyle name="Accent3" xfId="29" builtinId="37" customBuiltin="1"/>
    <cellStyle name="Accent4" xfId="33" builtinId="41" customBuiltin="1"/>
    <cellStyle name="Accent5" xfId="37" builtinId="45" customBuiltin="1"/>
    <cellStyle name="Accent6" xfId="41" builtinId="49" customBuiltin="1"/>
    <cellStyle name="Bad" xfId="10" builtinId="27" customBuiltin="1"/>
    <cellStyle name="Calculation" xfId="14" builtinId="22" customBuiltin="1"/>
    <cellStyle name="Check Cell" xfId="16" builtinId="23" customBuiltin="1"/>
    <cellStyle name="Comma" xfId="56" builtinId="3"/>
    <cellStyle name="Comma 12 2" xfId="53"/>
    <cellStyle name="Comma 2" xfId="47"/>
    <cellStyle name="Comma 2 2" xfId="49"/>
    <cellStyle name="Explanatory Text" xfId="19"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Hyperlink 2" xfId="46"/>
    <cellStyle name="Hyperlink 3 4" xfId="58"/>
    <cellStyle name="Input" xfId="12" builtinId="20" customBuiltin="1"/>
    <cellStyle name="Linked Cell" xfId="15" builtinId="24" customBuiltin="1"/>
    <cellStyle name="Neutral" xfId="11" builtinId="28" customBuiltin="1"/>
    <cellStyle name="Normal" xfId="0" builtinId="0"/>
    <cellStyle name="Normal 2" xfId="1"/>
    <cellStyle name="Normal 2 10" xfId="57"/>
    <cellStyle name="Normal 2 18 3" xfId="52"/>
    <cellStyle name="Normal 2 2" xfId="2"/>
    <cellStyle name="Normal 2 22" xfId="51"/>
    <cellStyle name="Normal 2 3" xfId="45"/>
    <cellStyle name="Normal 3" xfId="54"/>
    <cellStyle name="Normal 3 2" xfId="55"/>
    <cellStyle name="Normal 4" xfId="3"/>
    <cellStyle name="Normal 4 2" xfId="48"/>
    <cellStyle name="Normal_Cover Page Template" xfId="59"/>
    <cellStyle name="Note" xfId="18" builtinId="10" customBuiltin="1"/>
    <cellStyle name="Output" xfId="13" builtinId="21" customBuiltin="1"/>
    <cellStyle name="Percent" xfId="60" builtinId="5"/>
    <cellStyle name="Percent 2" xfId="50"/>
    <cellStyle name="Title" xfId="4" builtinId="15" customBuiltin="1"/>
    <cellStyle name="Total" xfId="20" builtinId="25" customBuiltin="1"/>
    <cellStyle name="Warning Text" xfId="17" builtinId="11" customBuiltin="1"/>
  </cellStyles>
  <dxfs count="1191">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s>
  <tableStyles count="0" defaultTableStyle="TableStyleMedium2" defaultPivotStyle="PivotStyleLight16"/>
  <colors>
    <mruColors>
      <color rgb="FFFFC7CE"/>
      <color rgb="FFC6EFCE"/>
      <color rgb="FF0000FF"/>
      <color rgb="FF9C0006"/>
      <color rgb="FF006100"/>
      <color rgb="FFFF5050"/>
      <color rgb="FFCC0000"/>
      <color rgb="FF990000"/>
      <color rgb="FF41DF5B"/>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6</xdr:col>
      <xdr:colOff>390525</xdr:colOff>
      <xdr:row>26</xdr:row>
      <xdr:rowOff>133350</xdr:rowOff>
    </xdr:from>
    <xdr:ext cx="1209674" cy="202778"/>
    <xdr:pic>
      <xdr:nvPicPr>
        <xdr:cNvPr id="2" name="ChartLogo">
          <a:extLst>
            <a:ext uri="{FF2B5EF4-FFF2-40B4-BE49-F238E27FC236}">
              <a16:creationId xmlns:a16="http://schemas.microsoft.com/office/drawing/2014/main" id="{A3AAA43A-8140-4FAE-997C-7B0DF38C5D87}"/>
            </a:ext>
          </a:extLst>
        </xdr:cNvPr>
        <xdr:cNvPicPr>
          <a:picLocks noChangeAspect="1"/>
        </xdr:cNvPicPr>
      </xdr:nvPicPr>
      <xdr:blipFill>
        <a:blip xmlns:r="http://schemas.openxmlformats.org/officeDocument/2006/relationships" r:embed="rId1"/>
        <a:stretch>
          <a:fillRect/>
        </a:stretch>
      </xdr:blipFill>
      <xdr:spPr>
        <a:xfrm>
          <a:off x="5572125" y="5629275"/>
          <a:ext cx="1209674" cy="202778"/>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1</xdr:colOff>
      <xdr:row>7</xdr:row>
      <xdr:rowOff>171451</xdr:rowOff>
    </xdr:from>
    <xdr:to>
      <xdr:col>3</xdr:col>
      <xdr:colOff>1</xdr:colOff>
      <xdr:row>9</xdr:row>
      <xdr:rowOff>482937</xdr:rowOff>
    </xdr:to>
    <xdr:pic>
      <xdr:nvPicPr>
        <xdr:cNvPr id="2" name="PaperchaseLogo">
          <a:extLst>
            <a:ext uri="{FF2B5EF4-FFF2-40B4-BE49-F238E27FC236}">
              <a16:creationId xmlns:a16="http://schemas.microsoft.com/office/drawing/2014/main" id="{1D545137-F78D-4216-B6A6-D5B5E8E3F52A}"/>
            </a:ext>
          </a:extLst>
        </xdr:cNvPr>
        <xdr:cNvPicPr>
          <a:picLocks noChangeAspect="1"/>
        </xdr:cNvPicPr>
      </xdr:nvPicPr>
      <xdr:blipFill>
        <a:blip xmlns:r="http://schemas.openxmlformats.org/officeDocument/2006/relationships" r:embed="rId1"/>
        <a:stretch>
          <a:fillRect/>
        </a:stretch>
      </xdr:blipFill>
      <xdr:spPr>
        <a:xfrm>
          <a:off x="285751" y="1895476"/>
          <a:ext cx="3952875" cy="117826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ikas\Desktop\Office%20Work\HXN\PROJECTION%20SHG%20THLA%202021%20March%20-%20May%20MB%2002.25.2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nnual"/>
      <sheetName val="phase 1 sal schedule"/>
      <sheetName val="Projections by Rev Center phase"/>
      <sheetName val="Sheet2"/>
      <sheetName val="phase 2 sal schedule"/>
      <sheetName val="Sheet3"/>
      <sheetName val="phase 3 sal schedule"/>
    </sheetNames>
    <sheetDataSet>
      <sheetData sheetId="0"/>
      <sheetData sheetId="1">
        <row r="11">
          <cell r="B11">
            <v>773.22404370000004</v>
          </cell>
        </row>
        <row r="20">
          <cell r="B20">
            <v>923.28767119999998</v>
          </cell>
        </row>
      </sheetData>
      <sheetData sheetId="2">
        <row r="48">
          <cell r="C48">
            <v>627838</v>
          </cell>
        </row>
        <row r="82">
          <cell r="C82">
            <v>4718537.5</v>
          </cell>
        </row>
      </sheetData>
      <sheetData sheetId="3">
        <row r="7">
          <cell r="G7">
            <v>730800</v>
          </cell>
        </row>
      </sheetData>
      <sheetData sheetId="4">
        <row r="11">
          <cell r="B11">
            <v>800.54644810000002</v>
          </cell>
        </row>
      </sheetData>
      <sheetData sheetId="5">
        <row r="7">
          <cell r="G7">
            <v>3347590</v>
          </cell>
        </row>
      </sheetData>
      <sheetData sheetId="6">
        <row r="11">
          <cell r="B11">
            <v>1368.852459</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16"/>
  <sheetViews>
    <sheetView workbookViewId="0"/>
  </sheetViews>
  <sheetFormatPr defaultColWidth="9.109375" defaultRowHeight="14.4"/>
  <cols>
    <col min="1" max="1" width="21" style="304" bestFit="1" customWidth="1"/>
    <col min="2" max="2" width="30.5546875" style="304" customWidth="1"/>
    <col min="3" max="3" width="40.109375" style="304" customWidth="1"/>
    <col min="4" max="4" width="47.6640625" style="304" customWidth="1"/>
    <col min="5" max="16384" width="9.109375" style="304"/>
  </cols>
  <sheetData>
    <row r="1" spans="1:4" ht="23.25" customHeight="1">
      <c r="A1" s="41" t="s">
        <v>40</v>
      </c>
      <c r="B1" s="41" t="s">
        <v>41</v>
      </c>
      <c r="C1" s="41" t="s">
        <v>46</v>
      </c>
      <c r="D1" s="41" t="s">
        <v>47</v>
      </c>
    </row>
    <row r="2" spans="1:4">
      <c r="A2" s="304" t="s">
        <v>584</v>
      </c>
      <c r="B2" s="304" t="s">
        <v>48</v>
      </c>
      <c r="C2" s="304" t="s">
        <v>49</v>
      </c>
      <c r="D2" s="304" t="s">
        <v>49</v>
      </c>
    </row>
    <row r="3" spans="1:4">
      <c r="A3" s="304" t="s">
        <v>584</v>
      </c>
      <c r="B3" s="304" t="s">
        <v>48</v>
      </c>
      <c r="C3" s="304" t="s">
        <v>246</v>
      </c>
      <c r="D3" s="304" t="s">
        <v>246</v>
      </c>
    </row>
    <row r="4" spans="1:4">
      <c r="A4" s="304" t="s">
        <v>584</v>
      </c>
      <c r="B4" s="304" t="s">
        <v>48</v>
      </c>
      <c r="C4" s="304" t="s">
        <v>247</v>
      </c>
      <c r="D4" s="304" t="s">
        <v>247</v>
      </c>
    </row>
    <row r="5" spans="1:4">
      <c r="A5" s="304" t="s">
        <v>584</v>
      </c>
      <c r="B5" s="304" t="s">
        <v>48</v>
      </c>
      <c r="C5" s="304" t="s">
        <v>585</v>
      </c>
      <c r="D5" s="304" t="s">
        <v>585</v>
      </c>
    </row>
    <row r="6" spans="1:4">
      <c r="A6" s="304" t="s">
        <v>584</v>
      </c>
      <c r="B6" s="304" t="s">
        <v>48</v>
      </c>
      <c r="C6" s="304" t="s">
        <v>586</v>
      </c>
      <c r="D6" s="304" t="s">
        <v>586</v>
      </c>
    </row>
    <row r="7" spans="1:4">
      <c r="A7" s="304" t="s">
        <v>584</v>
      </c>
      <c r="B7" s="304" t="s">
        <v>48</v>
      </c>
      <c r="C7" s="304" t="s">
        <v>587</v>
      </c>
      <c r="D7" s="304" t="s">
        <v>587</v>
      </c>
    </row>
    <row r="8" spans="1:4">
      <c r="A8" s="304" t="s">
        <v>584</v>
      </c>
      <c r="B8" s="304" t="s">
        <v>48</v>
      </c>
      <c r="C8" s="131" t="s">
        <v>588</v>
      </c>
      <c r="D8" s="131" t="s">
        <v>588</v>
      </c>
    </row>
    <row r="9" spans="1:4">
      <c r="A9" s="304" t="s">
        <v>584</v>
      </c>
      <c r="B9" s="304" t="s">
        <v>48</v>
      </c>
      <c r="C9" s="304" t="s">
        <v>249</v>
      </c>
      <c r="D9" s="304" t="s">
        <v>249</v>
      </c>
    </row>
    <row r="10" spans="1:4">
      <c r="A10" s="304" t="s">
        <v>584</v>
      </c>
      <c r="B10" s="304" t="s">
        <v>48</v>
      </c>
      <c r="C10" s="304" t="s">
        <v>250</v>
      </c>
      <c r="D10" s="304" t="s">
        <v>250</v>
      </c>
    </row>
    <row r="11" spans="1:4">
      <c r="A11" s="304" t="s">
        <v>584</v>
      </c>
      <c r="B11" s="304" t="s">
        <v>48</v>
      </c>
      <c r="C11" s="304" t="s">
        <v>251</v>
      </c>
      <c r="D11" s="304" t="s">
        <v>251</v>
      </c>
    </row>
    <row r="12" spans="1:4">
      <c r="A12" s="304" t="s">
        <v>584</v>
      </c>
      <c r="B12" s="304" t="s">
        <v>48</v>
      </c>
      <c r="C12" s="304" t="s">
        <v>52</v>
      </c>
      <c r="D12" s="304" t="s">
        <v>52</v>
      </c>
    </row>
    <row r="13" spans="1:4">
      <c r="A13" s="304" t="s">
        <v>584</v>
      </c>
      <c r="B13" s="304" t="s">
        <v>48</v>
      </c>
      <c r="C13" s="304" t="s">
        <v>252</v>
      </c>
      <c r="D13" s="304" t="s">
        <v>252</v>
      </c>
    </row>
    <row r="14" spans="1:4">
      <c r="A14" s="304" t="s">
        <v>584</v>
      </c>
      <c r="B14" s="304" t="s">
        <v>48</v>
      </c>
      <c r="C14" s="304" t="s">
        <v>53</v>
      </c>
      <c r="D14" s="304" t="s">
        <v>53</v>
      </c>
    </row>
    <row r="15" spans="1:4">
      <c r="A15" s="304" t="s">
        <v>584</v>
      </c>
      <c r="B15" s="304" t="s">
        <v>48</v>
      </c>
      <c r="C15" s="304" t="s">
        <v>54</v>
      </c>
      <c r="D15" s="304" t="s">
        <v>54</v>
      </c>
    </row>
    <row r="16" spans="1:4">
      <c r="A16" s="304" t="s">
        <v>584</v>
      </c>
      <c r="B16" s="304" t="s">
        <v>48</v>
      </c>
      <c r="C16" s="304" t="s">
        <v>55</v>
      </c>
      <c r="D16" s="304" t="s">
        <v>55</v>
      </c>
    </row>
    <row r="17" spans="1:4">
      <c r="A17" s="304" t="s">
        <v>584</v>
      </c>
      <c r="B17" s="304" t="s">
        <v>48</v>
      </c>
      <c r="C17" s="304" t="s">
        <v>589</v>
      </c>
      <c r="D17" s="304" t="s">
        <v>589</v>
      </c>
    </row>
    <row r="18" spans="1:4">
      <c r="A18" s="304" t="s">
        <v>584</v>
      </c>
      <c r="B18" s="304" t="s">
        <v>48</v>
      </c>
      <c r="C18" s="304" t="s">
        <v>590</v>
      </c>
      <c r="D18" s="304" t="s">
        <v>590</v>
      </c>
    </row>
    <row r="19" spans="1:4">
      <c r="A19" s="304" t="s">
        <v>584</v>
      </c>
      <c r="B19" s="304" t="s">
        <v>48</v>
      </c>
      <c r="C19" s="304" t="s">
        <v>790</v>
      </c>
      <c r="D19" s="315" t="s">
        <v>790</v>
      </c>
    </row>
    <row r="20" spans="1:4">
      <c r="A20" s="304" t="s">
        <v>584</v>
      </c>
      <c r="B20" s="304" t="s">
        <v>48</v>
      </c>
      <c r="C20" s="304" t="s">
        <v>591</v>
      </c>
      <c r="D20" s="304" t="s">
        <v>591</v>
      </c>
    </row>
    <row r="21" spans="1:4">
      <c r="A21" s="304" t="s">
        <v>584</v>
      </c>
      <c r="B21" s="304" t="s">
        <v>48</v>
      </c>
      <c r="C21" s="304" t="s">
        <v>592</v>
      </c>
      <c r="D21" s="304" t="s">
        <v>592</v>
      </c>
    </row>
    <row r="22" spans="1:4">
      <c r="A22" s="304" t="s">
        <v>584</v>
      </c>
      <c r="B22" s="304" t="s">
        <v>48</v>
      </c>
      <c r="C22" s="304" t="s">
        <v>791</v>
      </c>
      <c r="D22" s="315" t="s">
        <v>791</v>
      </c>
    </row>
    <row r="23" spans="1:4">
      <c r="A23" s="304" t="s">
        <v>584</v>
      </c>
      <c r="B23" s="304" t="s">
        <v>48</v>
      </c>
      <c r="C23" s="304" t="s">
        <v>593</v>
      </c>
      <c r="D23" s="304" t="s">
        <v>593</v>
      </c>
    </row>
    <row r="24" spans="1:4">
      <c r="A24" s="304" t="s">
        <v>584</v>
      </c>
      <c r="B24" s="304" t="s">
        <v>48</v>
      </c>
      <c r="C24" s="304" t="s">
        <v>594</v>
      </c>
      <c r="D24" s="304" t="s">
        <v>594</v>
      </c>
    </row>
    <row r="25" spans="1:4">
      <c r="A25" s="304" t="s">
        <v>584</v>
      </c>
      <c r="B25" s="304" t="s">
        <v>48</v>
      </c>
      <c r="C25" s="304" t="s">
        <v>260</v>
      </c>
      <c r="D25" s="304" t="s">
        <v>260</v>
      </c>
    </row>
    <row r="26" spans="1:4">
      <c r="A26" s="304" t="s">
        <v>584</v>
      </c>
      <c r="B26" s="304" t="s">
        <v>48</v>
      </c>
      <c r="C26" s="304" t="s">
        <v>261</v>
      </c>
      <c r="D26" s="304" t="s">
        <v>261</v>
      </c>
    </row>
    <row r="27" spans="1:4">
      <c r="A27" s="304" t="s">
        <v>584</v>
      </c>
      <c r="B27" s="304" t="s">
        <v>48</v>
      </c>
      <c r="C27" s="304" t="s">
        <v>443</v>
      </c>
      <c r="D27" s="304" t="s">
        <v>443</v>
      </c>
    </row>
    <row r="28" spans="1:4">
      <c r="A28" s="304" t="s">
        <v>584</v>
      </c>
      <c r="B28" s="304" t="s">
        <v>48</v>
      </c>
      <c r="C28" s="304" t="s">
        <v>444</v>
      </c>
      <c r="D28" s="304" t="s">
        <v>444</v>
      </c>
    </row>
    <row r="29" spans="1:4">
      <c r="A29" s="304" t="s">
        <v>584</v>
      </c>
      <c r="B29" s="304" t="s">
        <v>48</v>
      </c>
      <c r="C29" s="304" t="s">
        <v>263</v>
      </c>
      <c r="D29" s="304" t="s">
        <v>263</v>
      </c>
    </row>
    <row r="30" spans="1:4">
      <c r="A30" s="304" t="s">
        <v>584</v>
      </c>
      <c r="B30" s="304" t="s">
        <v>48</v>
      </c>
      <c r="C30" s="304" t="s">
        <v>450</v>
      </c>
      <c r="D30" s="304" t="s">
        <v>450</v>
      </c>
    </row>
    <row r="31" spans="1:4">
      <c r="A31" s="304" t="s">
        <v>584</v>
      </c>
      <c r="B31" s="304" t="s">
        <v>48</v>
      </c>
      <c r="C31" s="304" t="s">
        <v>58</v>
      </c>
      <c r="D31" s="304" t="s">
        <v>58</v>
      </c>
    </row>
    <row r="32" spans="1:4">
      <c r="A32" s="304" t="s">
        <v>584</v>
      </c>
      <c r="B32" s="304" t="s">
        <v>48</v>
      </c>
      <c r="C32" s="304" t="s">
        <v>595</v>
      </c>
      <c r="D32" s="304" t="s">
        <v>595</v>
      </c>
    </row>
    <row r="33" spans="1:4">
      <c r="A33" s="304" t="s">
        <v>584</v>
      </c>
      <c r="B33" s="304" t="s">
        <v>48</v>
      </c>
      <c r="C33" s="304" t="s">
        <v>596</v>
      </c>
      <c r="D33" s="304" t="s">
        <v>596</v>
      </c>
    </row>
    <row r="34" spans="1:4">
      <c r="A34" s="304" t="s">
        <v>584</v>
      </c>
      <c r="B34" s="304" t="s">
        <v>48</v>
      </c>
      <c r="C34" s="304" t="s">
        <v>597</v>
      </c>
      <c r="D34" s="304" t="s">
        <v>597</v>
      </c>
    </row>
    <row r="35" spans="1:4">
      <c r="A35" s="304" t="s">
        <v>584</v>
      </c>
      <c r="B35" s="304" t="s">
        <v>48</v>
      </c>
      <c r="C35" s="304" t="s">
        <v>598</v>
      </c>
      <c r="D35" s="304" t="s">
        <v>598</v>
      </c>
    </row>
    <row r="36" spans="1:4">
      <c r="A36" s="304" t="s">
        <v>584</v>
      </c>
      <c r="B36" s="304" t="s">
        <v>48</v>
      </c>
      <c r="C36" s="304" t="s">
        <v>599</v>
      </c>
      <c r="D36" s="304" t="s">
        <v>599</v>
      </c>
    </row>
    <row r="37" spans="1:4">
      <c r="A37" s="304" t="s">
        <v>584</v>
      </c>
      <c r="B37" s="304" t="s">
        <v>48</v>
      </c>
      <c r="C37" s="304" t="s">
        <v>600</v>
      </c>
      <c r="D37" s="304" t="s">
        <v>600</v>
      </c>
    </row>
    <row r="38" spans="1:4">
      <c r="A38" s="304" t="s">
        <v>584</v>
      </c>
      <c r="B38" s="304" t="s">
        <v>48</v>
      </c>
      <c r="C38" s="304" t="s">
        <v>601</v>
      </c>
      <c r="D38" s="304" t="s">
        <v>601</v>
      </c>
    </row>
    <row r="39" spans="1:4">
      <c r="A39" s="304" t="s">
        <v>584</v>
      </c>
      <c r="B39" s="304" t="s">
        <v>48</v>
      </c>
      <c r="C39" s="304" t="s">
        <v>602</v>
      </c>
      <c r="D39" s="304" t="s">
        <v>602</v>
      </c>
    </row>
    <row r="40" spans="1:4">
      <c r="A40" s="304" t="s">
        <v>584</v>
      </c>
      <c r="B40" s="304" t="s">
        <v>48</v>
      </c>
      <c r="C40" s="304" t="s">
        <v>603</v>
      </c>
      <c r="D40" s="304" t="s">
        <v>603</v>
      </c>
    </row>
    <row r="41" spans="1:4">
      <c r="A41" s="304" t="s">
        <v>584</v>
      </c>
      <c r="B41" s="304" t="s">
        <v>48</v>
      </c>
      <c r="C41" s="304" t="s">
        <v>604</v>
      </c>
      <c r="D41" s="304" t="s">
        <v>604</v>
      </c>
    </row>
    <row r="42" spans="1:4">
      <c r="A42" s="304" t="s">
        <v>584</v>
      </c>
      <c r="B42" s="304" t="s">
        <v>48</v>
      </c>
      <c r="C42" s="304" t="s">
        <v>605</v>
      </c>
      <c r="D42" s="304" t="s">
        <v>605</v>
      </c>
    </row>
    <row r="43" spans="1:4">
      <c r="A43" s="304" t="s">
        <v>584</v>
      </c>
      <c r="B43" s="304" t="s">
        <v>48</v>
      </c>
      <c r="C43" s="304" t="s">
        <v>606</v>
      </c>
      <c r="D43" s="304" t="s">
        <v>606</v>
      </c>
    </row>
    <row r="44" spans="1:4">
      <c r="A44" s="304" t="s">
        <v>584</v>
      </c>
      <c r="B44" s="304" t="s">
        <v>48</v>
      </c>
      <c r="C44" s="304" t="s">
        <v>607</v>
      </c>
      <c r="D44" s="304" t="s">
        <v>607</v>
      </c>
    </row>
    <row r="45" spans="1:4">
      <c r="A45" s="304" t="s">
        <v>584</v>
      </c>
      <c r="B45" s="304" t="s">
        <v>48</v>
      </c>
      <c r="C45" s="304" t="s">
        <v>608</v>
      </c>
      <c r="D45" s="304" t="s">
        <v>608</v>
      </c>
    </row>
    <row r="46" spans="1:4">
      <c r="A46" s="304" t="s">
        <v>584</v>
      </c>
      <c r="B46" s="304" t="s">
        <v>48</v>
      </c>
      <c r="C46" s="304" t="s">
        <v>609</v>
      </c>
      <c r="D46" s="304" t="s">
        <v>609</v>
      </c>
    </row>
    <row r="47" spans="1:4">
      <c r="A47" s="304" t="s">
        <v>584</v>
      </c>
      <c r="B47" s="304" t="s">
        <v>48</v>
      </c>
      <c r="C47" s="304" t="s">
        <v>610</v>
      </c>
      <c r="D47" s="304" t="s">
        <v>610</v>
      </c>
    </row>
    <row r="48" spans="1:4">
      <c r="A48" s="304" t="s">
        <v>584</v>
      </c>
      <c r="B48" s="304" t="s">
        <v>48</v>
      </c>
      <c r="C48" s="304" t="s">
        <v>611</v>
      </c>
      <c r="D48" s="304" t="s">
        <v>611</v>
      </c>
    </row>
    <row r="49" spans="1:4">
      <c r="A49" s="304" t="s">
        <v>584</v>
      </c>
      <c r="B49" s="304" t="s">
        <v>48</v>
      </c>
      <c r="C49" s="304" t="s">
        <v>612</v>
      </c>
      <c r="D49" s="304" t="s">
        <v>612</v>
      </c>
    </row>
    <row r="50" spans="1:4">
      <c r="A50" s="304" t="s">
        <v>584</v>
      </c>
      <c r="B50" s="304" t="s">
        <v>48</v>
      </c>
      <c r="C50" s="304" t="s">
        <v>613</v>
      </c>
      <c r="D50" s="304" t="s">
        <v>613</v>
      </c>
    </row>
    <row r="51" spans="1:4">
      <c r="A51" s="304" t="s">
        <v>584</v>
      </c>
      <c r="B51" s="304" t="s">
        <v>48</v>
      </c>
      <c r="C51" s="304" t="s">
        <v>614</v>
      </c>
      <c r="D51" s="304" t="s">
        <v>614</v>
      </c>
    </row>
    <row r="52" spans="1:4">
      <c r="A52" s="304" t="s">
        <v>584</v>
      </c>
      <c r="B52" s="304" t="s">
        <v>48</v>
      </c>
      <c r="C52" s="304" t="s">
        <v>615</v>
      </c>
      <c r="D52" s="304" t="s">
        <v>615</v>
      </c>
    </row>
    <row r="53" spans="1:4">
      <c r="A53" s="304" t="s">
        <v>584</v>
      </c>
      <c r="B53" s="304" t="s">
        <v>48</v>
      </c>
      <c r="C53" s="304" t="s">
        <v>616</v>
      </c>
      <c r="D53" s="304" t="s">
        <v>616</v>
      </c>
    </row>
    <row r="54" spans="1:4">
      <c r="A54" s="304" t="s">
        <v>584</v>
      </c>
      <c r="B54" s="304" t="s">
        <v>48</v>
      </c>
      <c r="C54" s="304" t="s">
        <v>617</v>
      </c>
      <c r="D54" s="304" t="s">
        <v>617</v>
      </c>
    </row>
    <row r="55" spans="1:4">
      <c r="A55" s="304" t="s">
        <v>584</v>
      </c>
      <c r="B55" s="304" t="s">
        <v>48</v>
      </c>
      <c r="C55" s="304" t="s">
        <v>618</v>
      </c>
      <c r="D55" s="304" t="s">
        <v>618</v>
      </c>
    </row>
    <row r="56" spans="1:4">
      <c r="A56" s="304" t="s">
        <v>584</v>
      </c>
      <c r="B56" s="304" t="s">
        <v>48</v>
      </c>
      <c r="C56" s="304" t="s">
        <v>619</v>
      </c>
      <c r="D56" s="304" t="s">
        <v>619</v>
      </c>
    </row>
    <row r="57" spans="1:4">
      <c r="A57" s="304" t="s">
        <v>584</v>
      </c>
      <c r="B57" s="304" t="s">
        <v>48</v>
      </c>
      <c r="C57" s="304" t="s">
        <v>620</v>
      </c>
      <c r="D57" s="304" t="s">
        <v>620</v>
      </c>
    </row>
    <row r="58" spans="1:4">
      <c r="A58" s="304" t="s">
        <v>584</v>
      </c>
      <c r="B58" s="304" t="s">
        <v>48</v>
      </c>
      <c r="C58" s="304" t="s">
        <v>621</v>
      </c>
      <c r="D58" s="304" t="s">
        <v>621</v>
      </c>
    </row>
    <row r="59" spans="1:4">
      <c r="A59" s="304" t="s">
        <v>584</v>
      </c>
      <c r="B59" s="304" t="s">
        <v>48</v>
      </c>
      <c r="C59" s="304" t="s">
        <v>622</v>
      </c>
      <c r="D59" s="304" t="s">
        <v>622</v>
      </c>
    </row>
    <row r="60" spans="1:4">
      <c r="A60" s="304" t="s">
        <v>584</v>
      </c>
      <c r="B60" s="304" t="s">
        <v>48</v>
      </c>
      <c r="C60" s="304" t="s">
        <v>623</v>
      </c>
      <c r="D60" s="304" t="s">
        <v>623</v>
      </c>
    </row>
    <row r="61" spans="1:4">
      <c r="A61" s="304" t="s">
        <v>584</v>
      </c>
      <c r="B61" s="304" t="s">
        <v>48</v>
      </c>
      <c r="C61" s="304" t="s">
        <v>624</v>
      </c>
      <c r="D61" s="304" t="s">
        <v>624</v>
      </c>
    </row>
    <row r="62" spans="1:4">
      <c r="A62" s="304" t="s">
        <v>584</v>
      </c>
      <c r="B62" s="304" t="s">
        <v>48</v>
      </c>
      <c r="C62" s="304" t="s">
        <v>625</v>
      </c>
      <c r="D62" s="304" t="s">
        <v>625</v>
      </c>
    </row>
    <row r="63" spans="1:4">
      <c r="A63" s="304" t="s">
        <v>584</v>
      </c>
      <c r="B63" s="304" t="s">
        <v>48</v>
      </c>
      <c r="C63" s="304" t="s">
        <v>626</v>
      </c>
      <c r="D63" s="304" t="s">
        <v>626</v>
      </c>
    </row>
    <row r="64" spans="1:4">
      <c r="A64" s="304" t="s">
        <v>584</v>
      </c>
      <c r="B64" s="304" t="s">
        <v>48</v>
      </c>
      <c r="C64" s="304" t="s">
        <v>627</v>
      </c>
      <c r="D64" s="304" t="s">
        <v>627</v>
      </c>
    </row>
    <row r="65" spans="1:4">
      <c r="A65" s="304" t="s">
        <v>584</v>
      </c>
      <c r="B65" s="304" t="s">
        <v>48</v>
      </c>
      <c r="C65" s="304" t="s">
        <v>628</v>
      </c>
      <c r="D65" s="304" t="s">
        <v>628</v>
      </c>
    </row>
    <row r="66" spans="1:4">
      <c r="A66" s="304" t="s">
        <v>584</v>
      </c>
      <c r="B66" s="304" t="s">
        <v>48</v>
      </c>
      <c r="C66" s="304" t="s">
        <v>629</v>
      </c>
      <c r="D66" s="304" t="s">
        <v>629</v>
      </c>
    </row>
    <row r="67" spans="1:4">
      <c r="A67" s="304" t="s">
        <v>584</v>
      </c>
      <c r="B67" s="304" t="s">
        <v>48</v>
      </c>
      <c r="C67" s="304" t="s">
        <v>630</v>
      </c>
      <c r="D67" s="304" t="s">
        <v>630</v>
      </c>
    </row>
    <row r="68" spans="1:4">
      <c r="A68" s="304" t="s">
        <v>584</v>
      </c>
      <c r="B68" s="304" t="s">
        <v>48</v>
      </c>
      <c r="C68" s="304" t="s">
        <v>631</v>
      </c>
      <c r="D68" s="304" t="s">
        <v>631</v>
      </c>
    </row>
    <row r="69" spans="1:4">
      <c r="A69" s="304" t="s">
        <v>584</v>
      </c>
      <c r="B69" s="304" t="s">
        <v>48</v>
      </c>
      <c r="C69" s="304" t="s">
        <v>632</v>
      </c>
      <c r="D69" s="304" t="s">
        <v>632</v>
      </c>
    </row>
    <row r="70" spans="1:4">
      <c r="A70" s="304" t="s">
        <v>584</v>
      </c>
      <c r="B70" s="304" t="s">
        <v>48</v>
      </c>
      <c r="C70" s="304" t="s">
        <v>633</v>
      </c>
      <c r="D70" s="304" t="s">
        <v>633</v>
      </c>
    </row>
    <row r="71" spans="1:4">
      <c r="A71" s="304" t="s">
        <v>584</v>
      </c>
      <c r="B71" s="304" t="s">
        <v>48</v>
      </c>
      <c r="C71" s="304" t="s">
        <v>634</v>
      </c>
      <c r="D71" s="304" t="s">
        <v>634</v>
      </c>
    </row>
    <row r="72" spans="1:4">
      <c r="A72" s="304" t="s">
        <v>584</v>
      </c>
      <c r="B72" s="304" t="s">
        <v>48</v>
      </c>
      <c r="C72" s="304" t="s">
        <v>635</v>
      </c>
      <c r="D72" s="304" t="s">
        <v>635</v>
      </c>
    </row>
    <row r="73" spans="1:4">
      <c r="A73" s="304" t="s">
        <v>584</v>
      </c>
      <c r="B73" s="304" t="s">
        <v>48</v>
      </c>
      <c r="C73" s="304" t="s">
        <v>636</v>
      </c>
      <c r="D73" s="304" t="s">
        <v>636</v>
      </c>
    </row>
    <row r="74" spans="1:4">
      <c r="A74" s="304" t="s">
        <v>584</v>
      </c>
      <c r="B74" s="304" t="s">
        <v>48</v>
      </c>
      <c r="C74" s="304" t="s">
        <v>637</v>
      </c>
      <c r="D74" s="304" t="s">
        <v>637</v>
      </c>
    </row>
    <row r="75" spans="1:4">
      <c r="A75" s="304" t="s">
        <v>584</v>
      </c>
      <c r="B75" s="304" t="s">
        <v>48</v>
      </c>
      <c r="C75" s="304" t="s">
        <v>638</v>
      </c>
      <c r="D75" s="304" t="s">
        <v>638</v>
      </c>
    </row>
    <row r="76" spans="1:4">
      <c r="A76" s="304" t="s">
        <v>584</v>
      </c>
      <c r="B76" s="304" t="s">
        <v>48</v>
      </c>
      <c r="C76" s="304" t="s">
        <v>639</v>
      </c>
      <c r="D76" s="304" t="s">
        <v>639</v>
      </c>
    </row>
    <row r="77" spans="1:4">
      <c r="A77" s="304" t="s">
        <v>584</v>
      </c>
      <c r="B77" s="304" t="s">
        <v>48</v>
      </c>
      <c r="C77" s="304" t="s">
        <v>640</v>
      </c>
      <c r="D77" s="304" t="s">
        <v>640</v>
      </c>
    </row>
    <row r="78" spans="1:4">
      <c r="A78" s="304" t="s">
        <v>584</v>
      </c>
      <c r="B78" s="304" t="s">
        <v>48</v>
      </c>
      <c r="C78" s="304" t="s">
        <v>641</v>
      </c>
      <c r="D78" s="304" t="s">
        <v>641</v>
      </c>
    </row>
    <row r="79" spans="1:4">
      <c r="A79" s="304" t="s">
        <v>584</v>
      </c>
      <c r="B79" s="304" t="s">
        <v>48</v>
      </c>
      <c r="C79" s="304" t="s">
        <v>642</v>
      </c>
      <c r="D79" s="304" t="s">
        <v>642</v>
      </c>
    </row>
    <row r="80" spans="1:4">
      <c r="A80" s="304" t="s">
        <v>584</v>
      </c>
      <c r="B80" s="304" t="s">
        <v>48</v>
      </c>
      <c r="C80" s="304" t="s">
        <v>643</v>
      </c>
      <c r="D80" s="304" t="s">
        <v>643</v>
      </c>
    </row>
    <row r="81" spans="1:4">
      <c r="A81" s="304" t="s">
        <v>584</v>
      </c>
      <c r="B81" s="304" t="s">
        <v>48</v>
      </c>
      <c r="C81" s="304" t="s">
        <v>292</v>
      </c>
      <c r="D81" s="304" t="s">
        <v>292</v>
      </c>
    </row>
    <row r="82" spans="1:4">
      <c r="A82" s="304" t="s">
        <v>584</v>
      </c>
      <c r="B82" s="304" t="s">
        <v>48</v>
      </c>
      <c r="C82" s="304" t="s">
        <v>56</v>
      </c>
      <c r="D82" s="304" t="s">
        <v>56</v>
      </c>
    </row>
    <row r="83" spans="1:4">
      <c r="A83" s="304" t="s">
        <v>584</v>
      </c>
      <c r="B83" s="304" t="s">
        <v>48</v>
      </c>
      <c r="C83" s="304" t="s">
        <v>644</v>
      </c>
      <c r="D83" s="304" t="s">
        <v>644</v>
      </c>
    </row>
    <row r="84" spans="1:4">
      <c r="A84" s="304" t="s">
        <v>584</v>
      </c>
      <c r="B84" s="304" t="s">
        <v>48</v>
      </c>
      <c r="C84" s="304" t="s">
        <v>645</v>
      </c>
      <c r="D84" s="304" t="s">
        <v>645</v>
      </c>
    </row>
    <row r="85" spans="1:4">
      <c r="A85" s="304" t="s">
        <v>584</v>
      </c>
      <c r="B85" s="304" t="s">
        <v>48</v>
      </c>
      <c r="C85" s="304" t="s">
        <v>646</v>
      </c>
      <c r="D85" s="304" t="s">
        <v>646</v>
      </c>
    </row>
    <row r="86" spans="1:4">
      <c r="A86" s="304" t="s">
        <v>584</v>
      </c>
      <c r="B86" s="304" t="s">
        <v>48</v>
      </c>
      <c r="C86" s="304" t="s">
        <v>647</v>
      </c>
      <c r="D86" s="304" t="s">
        <v>647</v>
      </c>
    </row>
    <row r="87" spans="1:4">
      <c r="A87" s="304" t="s">
        <v>584</v>
      </c>
      <c r="B87" s="304" t="s">
        <v>48</v>
      </c>
      <c r="C87" s="304" t="s">
        <v>648</v>
      </c>
      <c r="D87" s="304" t="s">
        <v>648</v>
      </c>
    </row>
    <row r="88" spans="1:4">
      <c r="A88" s="304" t="s">
        <v>584</v>
      </c>
      <c r="B88" s="304" t="s">
        <v>48</v>
      </c>
      <c r="C88" s="304" t="s">
        <v>649</v>
      </c>
      <c r="D88" s="304" t="s">
        <v>649</v>
      </c>
    </row>
    <row r="89" spans="1:4">
      <c r="A89" s="304" t="s">
        <v>584</v>
      </c>
      <c r="B89" s="304" t="s">
        <v>48</v>
      </c>
      <c r="C89" s="304" t="s">
        <v>650</v>
      </c>
      <c r="D89" s="304" t="s">
        <v>650</v>
      </c>
    </row>
    <row r="90" spans="1:4">
      <c r="A90" s="304" t="s">
        <v>584</v>
      </c>
      <c r="B90" s="304" t="s">
        <v>48</v>
      </c>
      <c r="C90" s="304" t="s">
        <v>651</v>
      </c>
      <c r="D90" s="304" t="s">
        <v>651</v>
      </c>
    </row>
    <row r="91" spans="1:4">
      <c r="A91" s="304" t="s">
        <v>584</v>
      </c>
      <c r="B91" s="304" t="s">
        <v>48</v>
      </c>
      <c r="C91" s="304" t="s">
        <v>445</v>
      </c>
      <c r="D91" s="304" t="s">
        <v>445</v>
      </c>
    </row>
    <row r="92" spans="1:4">
      <c r="A92" s="304" t="s">
        <v>584</v>
      </c>
      <c r="B92" s="304" t="s">
        <v>48</v>
      </c>
      <c r="C92" s="304" t="s">
        <v>652</v>
      </c>
      <c r="D92" s="304" t="s">
        <v>652</v>
      </c>
    </row>
    <row r="93" spans="1:4">
      <c r="A93" s="304" t="s">
        <v>584</v>
      </c>
      <c r="B93" s="304" t="s">
        <v>48</v>
      </c>
      <c r="C93" s="304" t="s">
        <v>653</v>
      </c>
      <c r="D93" s="304" t="s">
        <v>653</v>
      </c>
    </row>
    <row r="94" spans="1:4">
      <c r="A94" s="304" t="s">
        <v>584</v>
      </c>
      <c r="B94" s="304" t="s">
        <v>48</v>
      </c>
      <c r="C94" s="304" t="s">
        <v>654</v>
      </c>
      <c r="D94" s="304" t="s">
        <v>654</v>
      </c>
    </row>
    <row r="95" spans="1:4">
      <c r="A95" s="304" t="s">
        <v>584</v>
      </c>
      <c r="B95" s="304" t="s">
        <v>48</v>
      </c>
      <c r="C95" s="304" t="s">
        <v>655</v>
      </c>
      <c r="D95" s="304" t="s">
        <v>655</v>
      </c>
    </row>
    <row r="96" spans="1:4">
      <c r="A96" s="304" t="s">
        <v>584</v>
      </c>
      <c r="B96" s="304" t="s">
        <v>48</v>
      </c>
      <c r="C96" s="304" t="s">
        <v>656</v>
      </c>
      <c r="D96" s="304" t="s">
        <v>656</v>
      </c>
    </row>
    <row r="97" spans="1:4">
      <c r="A97" s="304" t="s">
        <v>584</v>
      </c>
      <c r="B97" s="304" t="s">
        <v>48</v>
      </c>
      <c r="C97" s="304" t="s">
        <v>657</v>
      </c>
      <c r="D97" s="304" t="s">
        <v>657</v>
      </c>
    </row>
    <row r="98" spans="1:4">
      <c r="A98" s="304" t="s">
        <v>584</v>
      </c>
      <c r="B98" s="304" t="s">
        <v>48</v>
      </c>
      <c r="C98" s="304" t="s">
        <v>658</v>
      </c>
      <c r="D98" s="304" t="s">
        <v>658</v>
      </c>
    </row>
    <row r="99" spans="1:4">
      <c r="A99" s="304" t="s">
        <v>584</v>
      </c>
      <c r="B99" s="304" t="s">
        <v>48</v>
      </c>
      <c r="C99" s="304" t="s">
        <v>659</v>
      </c>
      <c r="D99" s="304" t="s">
        <v>659</v>
      </c>
    </row>
    <row r="100" spans="1:4">
      <c r="A100" s="304" t="s">
        <v>584</v>
      </c>
      <c r="B100" s="304" t="s">
        <v>48</v>
      </c>
      <c r="C100" s="304" t="s">
        <v>301</v>
      </c>
      <c r="D100" s="304" t="s">
        <v>301</v>
      </c>
    </row>
    <row r="101" spans="1:4">
      <c r="A101" s="304" t="s">
        <v>584</v>
      </c>
      <c r="B101" s="304" t="s">
        <v>48</v>
      </c>
      <c r="C101" s="304" t="s">
        <v>660</v>
      </c>
      <c r="D101" s="304" t="s">
        <v>660</v>
      </c>
    </row>
    <row r="102" spans="1:4">
      <c r="A102" s="304" t="s">
        <v>584</v>
      </c>
      <c r="B102" s="304" t="s">
        <v>48</v>
      </c>
      <c r="C102" s="304" t="s">
        <v>661</v>
      </c>
      <c r="D102" s="304" t="s">
        <v>661</v>
      </c>
    </row>
    <row r="103" spans="1:4">
      <c r="A103" s="304" t="s">
        <v>584</v>
      </c>
      <c r="B103" s="304" t="s">
        <v>48</v>
      </c>
      <c r="C103" s="304" t="s">
        <v>303</v>
      </c>
      <c r="D103" s="304" t="s">
        <v>303</v>
      </c>
    </row>
    <row r="104" spans="1:4">
      <c r="A104" s="304" t="s">
        <v>584</v>
      </c>
      <c r="B104" s="304" t="s">
        <v>48</v>
      </c>
      <c r="C104" s="304" t="s">
        <v>662</v>
      </c>
      <c r="D104" s="304" t="s">
        <v>662</v>
      </c>
    </row>
    <row r="105" spans="1:4">
      <c r="A105" s="304" t="s">
        <v>584</v>
      </c>
      <c r="B105" s="304" t="s">
        <v>48</v>
      </c>
      <c r="C105" s="304" t="s">
        <v>663</v>
      </c>
      <c r="D105" s="304" t="s">
        <v>663</v>
      </c>
    </row>
    <row r="106" spans="1:4">
      <c r="A106" s="304" t="s">
        <v>584</v>
      </c>
      <c r="B106" s="304" t="s">
        <v>48</v>
      </c>
      <c r="C106" s="304" t="s">
        <v>664</v>
      </c>
      <c r="D106" s="304" t="s">
        <v>664</v>
      </c>
    </row>
    <row r="107" spans="1:4">
      <c r="A107" s="304" t="s">
        <v>584</v>
      </c>
      <c r="B107" s="304" t="s">
        <v>48</v>
      </c>
      <c r="C107" s="304" t="s">
        <v>665</v>
      </c>
      <c r="D107" s="304" t="s">
        <v>665</v>
      </c>
    </row>
    <row r="108" spans="1:4">
      <c r="A108" s="304" t="s">
        <v>584</v>
      </c>
      <c r="B108" s="304" t="s">
        <v>48</v>
      </c>
      <c r="C108" s="304" t="s">
        <v>666</v>
      </c>
      <c r="D108" s="304" t="s">
        <v>666</v>
      </c>
    </row>
    <row r="109" spans="1:4">
      <c r="A109" s="304" t="s">
        <v>584</v>
      </c>
      <c r="B109" s="304" t="s">
        <v>48</v>
      </c>
      <c r="C109" s="304" t="s">
        <v>667</v>
      </c>
      <c r="D109" s="304" t="s">
        <v>667</v>
      </c>
    </row>
    <row r="110" spans="1:4">
      <c r="A110" s="304" t="s">
        <v>584</v>
      </c>
      <c r="B110" s="304" t="s">
        <v>48</v>
      </c>
      <c r="C110" s="304" t="s">
        <v>305</v>
      </c>
      <c r="D110" s="304" t="s">
        <v>305</v>
      </c>
    </row>
    <row r="111" spans="1:4">
      <c r="A111" s="304" t="s">
        <v>584</v>
      </c>
      <c r="B111" s="304" t="s">
        <v>48</v>
      </c>
      <c r="C111" s="304" t="s">
        <v>94</v>
      </c>
      <c r="D111" s="304" t="s">
        <v>94</v>
      </c>
    </row>
    <row r="112" spans="1:4">
      <c r="A112" s="304" t="s">
        <v>584</v>
      </c>
      <c r="B112" s="304" t="s">
        <v>48</v>
      </c>
      <c r="C112" s="304" t="s">
        <v>95</v>
      </c>
      <c r="D112" s="304" t="s">
        <v>95</v>
      </c>
    </row>
    <row r="113" spans="1:4">
      <c r="A113" s="304" t="s">
        <v>584</v>
      </c>
      <c r="B113" s="304" t="s">
        <v>48</v>
      </c>
      <c r="C113" s="304" t="s">
        <v>306</v>
      </c>
      <c r="D113" s="304" t="s">
        <v>306</v>
      </c>
    </row>
    <row r="114" spans="1:4">
      <c r="A114" s="304" t="s">
        <v>584</v>
      </c>
      <c r="B114" s="304" t="s">
        <v>48</v>
      </c>
      <c r="C114" s="304" t="s">
        <v>92</v>
      </c>
      <c r="D114" s="304" t="s">
        <v>92</v>
      </c>
    </row>
    <row r="115" spans="1:4">
      <c r="A115" s="304" t="s">
        <v>584</v>
      </c>
      <c r="B115" s="304" t="s">
        <v>48</v>
      </c>
      <c r="C115" s="304" t="s">
        <v>668</v>
      </c>
      <c r="D115" s="304" t="s">
        <v>668</v>
      </c>
    </row>
    <row r="116" spans="1:4">
      <c r="A116" s="304" t="s">
        <v>584</v>
      </c>
      <c r="B116" s="304" t="s">
        <v>48</v>
      </c>
      <c r="C116" s="304" t="s">
        <v>669</v>
      </c>
      <c r="D116" s="304" t="s">
        <v>669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G157"/>
  <sheetViews>
    <sheetView topLeftCell="A14" workbookViewId="0"/>
  </sheetViews>
  <sheetFormatPr defaultColWidth="22.44140625" defaultRowHeight="14.4"/>
  <cols>
    <col min="1" max="1" width="36" style="127" bestFit="1" customWidth="1"/>
    <col min="2" max="2" width="25.109375" style="122" customWidth="1"/>
    <col min="3" max="3" width="28.33203125" style="122" customWidth="1"/>
    <col min="4" max="4" width="94.5546875" style="42" customWidth="1"/>
    <col min="5" max="5" width="52.6640625" style="42" customWidth="1"/>
    <col min="6" max="6" width="6.5546875" style="304" bestFit="1" customWidth="1"/>
    <col min="7" max="16384" width="22.44140625" style="304"/>
  </cols>
  <sheetData>
    <row r="1" spans="1:7" ht="38.25" customHeight="1">
      <c r="A1" s="43" t="s">
        <v>40</v>
      </c>
      <c r="B1" s="43" t="s">
        <v>99</v>
      </c>
      <c r="C1" s="43" t="s">
        <v>100</v>
      </c>
      <c r="D1" s="44" t="s">
        <v>101</v>
      </c>
      <c r="E1" s="44" t="s">
        <v>102</v>
      </c>
      <c r="F1" s="43" t="s">
        <v>103</v>
      </c>
      <c r="G1" s="41"/>
    </row>
    <row r="2" spans="1:7">
      <c r="A2" s="45" t="s">
        <v>584</v>
      </c>
      <c r="B2" s="46" t="s">
        <v>104</v>
      </c>
      <c r="C2" s="46" t="s">
        <v>104</v>
      </c>
      <c r="D2" s="47"/>
      <c r="E2" s="47"/>
      <c r="F2" s="48"/>
    </row>
    <row r="3" spans="1:7">
      <c r="A3" s="45" t="s">
        <v>584</v>
      </c>
      <c r="B3" s="46" t="s">
        <v>105</v>
      </c>
      <c r="C3" s="46" t="s">
        <v>105</v>
      </c>
      <c r="D3" s="47"/>
      <c r="E3" s="47"/>
      <c r="F3" s="48"/>
    </row>
    <row r="4" spans="1:7">
      <c r="A4" s="45" t="s">
        <v>584</v>
      </c>
      <c r="B4" s="46" t="s">
        <v>106</v>
      </c>
      <c r="C4" s="46" t="s">
        <v>106</v>
      </c>
      <c r="D4" s="47"/>
      <c r="E4" s="47"/>
      <c r="F4" s="48"/>
    </row>
    <row r="5" spans="1:7">
      <c r="A5" s="45" t="s">
        <v>584</v>
      </c>
      <c r="B5" s="46" t="s">
        <v>107</v>
      </c>
      <c r="C5" s="49" t="s">
        <v>108</v>
      </c>
      <c r="D5" s="49" t="s">
        <v>49</v>
      </c>
      <c r="E5" s="47" t="str">
        <f t="shared" ref="E5:E15" si="0">C5&amp;"||/||"&amp;$C$16</f>
        <v>Revenue - Food||/||TOTAL REVENUE</v>
      </c>
      <c r="F5" s="48"/>
    </row>
    <row r="6" spans="1:7">
      <c r="A6" s="45" t="s">
        <v>584</v>
      </c>
      <c r="B6" s="46" t="s">
        <v>107</v>
      </c>
      <c r="C6" s="49" t="s">
        <v>307</v>
      </c>
      <c r="D6" s="49" t="s">
        <v>246</v>
      </c>
      <c r="E6" s="47" t="str">
        <f t="shared" si="0"/>
        <v>Revenue - Tea/Coffee||/||TOTAL REVENUE</v>
      </c>
      <c r="F6" s="48"/>
    </row>
    <row r="7" spans="1:7">
      <c r="A7" s="45" t="s">
        <v>584</v>
      </c>
      <c r="B7" s="46" t="s">
        <v>107</v>
      </c>
      <c r="C7" s="49" t="s">
        <v>308</v>
      </c>
      <c r="D7" s="50" t="s">
        <v>247</v>
      </c>
      <c r="E7" s="47" t="str">
        <f t="shared" si="0"/>
        <v>Revenue - Wines||/||TOTAL REVENUE</v>
      </c>
      <c r="F7" s="48"/>
    </row>
    <row r="8" spans="1:7">
      <c r="A8" s="45" t="s">
        <v>584</v>
      </c>
      <c r="B8" s="46" t="s">
        <v>107</v>
      </c>
      <c r="C8" s="49" t="s">
        <v>109</v>
      </c>
      <c r="D8" s="50" t="s">
        <v>585</v>
      </c>
      <c r="E8" s="47" t="str">
        <f t="shared" si="0"/>
        <v>Revenue - Liquor||/||TOTAL REVENUE</v>
      </c>
      <c r="F8" s="48"/>
    </row>
    <row r="9" spans="1:7">
      <c r="A9" s="45" t="s">
        <v>584</v>
      </c>
      <c r="B9" s="46" t="s">
        <v>107</v>
      </c>
      <c r="C9" s="49" t="s">
        <v>110</v>
      </c>
      <c r="D9" s="50" t="s">
        <v>586</v>
      </c>
      <c r="E9" s="47" t="str">
        <f t="shared" si="0"/>
        <v>Revenue - Beer||/||TOTAL REVENUE</v>
      </c>
      <c r="F9" s="48"/>
    </row>
    <row r="10" spans="1:7">
      <c r="A10" s="45" t="s">
        <v>584</v>
      </c>
      <c r="B10" s="46" t="s">
        <v>107</v>
      </c>
      <c r="C10" s="49" t="s">
        <v>309</v>
      </c>
      <c r="D10" s="50" t="s">
        <v>587</v>
      </c>
      <c r="E10" s="47" t="str">
        <f t="shared" si="0"/>
        <v>Revenue - Juice||/||TOTAL REVENUE</v>
      </c>
      <c r="F10" s="48"/>
    </row>
    <row r="11" spans="1:7" ht="28.8">
      <c r="A11" s="45" t="s">
        <v>584</v>
      </c>
      <c r="B11" s="46" t="s">
        <v>107</v>
      </c>
      <c r="C11" s="49" t="s">
        <v>111</v>
      </c>
      <c r="D11" s="132" t="str">
        <f>D6&amp;"||+||"&amp;D7&amp;"||+||"&amp;D8&amp;"||+||"&amp;D9&amp;"||"&amp;D10</f>
        <v>300-020 · Revenue - Tea/Coffee||+||300-030 · Revenue - Wines||+||300-050 · Revenue - Liquor||+||300-060 · Revenue - Beer||300-070 · Revenue - Juice</v>
      </c>
      <c r="E11" s="47" t="str">
        <f t="shared" si="0"/>
        <v>Revenue - Beverages||/||TOTAL REVENUE</v>
      </c>
      <c r="F11" s="48">
        <v>1</v>
      </c>
    </row>
    <row r="12" spans="1:7">
      <c r="A12" s="45" t="s">
        <v>584</v>
      </c>
      <c r="B12" s="46" t="s">
        <v>107</v>
      </c>
      <c r="C12" s="49" t="s">
        <v>435</v>
      </c>
      <c r="D12" s="50" t="s">
        <v>588</v>
      </c>
      <c r="E12" s="47" t="str">
        <f t="shared" si="0"/>
        <v>Revenue - 4% Health and Care Fee||/||TOTAL REVENUE</v>
      </c>
      <c r="F12" s="48"/>
    </row>
    <row r="13" spans="1:7">
      <c r="A13" s="45" t="s">
        <v>584</v>
      </c>
      <c r="B13" s="46" t="s">
        <v>107</v>
      </c>
      <c r="C13" s="49" t="s">
        <v>310</v>
      </c>
      <c r="D13" s="50" t="s">
        <v>249</v>
      </c>
      <c r="E13" s="47" t="str">
        <f t="shared" si="0"/>
        <v>Revenue - Retail||/||TOTAL REVENUE</v>
      </c>
      <c r="F13" s="48"/>
    </row>
    <row r="14" spans="1:7">
      <c r="A14" s="45" t="s">
        <v>584</v>
      </c>
      <c r="B14" s="46" t="s">
        <v>107</v>
      </c>
      <c r="C14" s="49" t="s">
        <v>311</v>
      </c>
      <c r="D14" s="50" t="s">
        <v>670</v>
      </c>
      <c r="E14" s="47" t="str">
        <f t="shared" si="0"/>
        <v>Revenue - Admin Fees||/||TOTAL REVENUE</v>
      </c>
      <c r="F14" s="48"/>
    </row>
    <row r="15" spans="1:7">
      <c r="A15" s="45" t="s">
        <v>584</v>
      </c>
      <c r="B15" s="46" t="s">
        <v>107</v>
      </c>
      <c r="C15" s="49" t="s">
        <v>312</v>
      </c>
      <c r="D15" s="50" t="s">
        <v>251</v>
      </c>
      <c r="E15" s="47" t="str">
        <f t="shared" si="0"/>
        <v>Revenue - Room Rental||/||TOTAL REVENUE</v>
      </c>
      <c r="F15" s="48"/>
    </row>
    <row r="16" spans="1:7" ht="72">
      <c r="A16" s="45" t="s">
        <v>584</v>
      </c>
      <c r="B16" s="51" t="s">
        <v>107</v>
      </c>
      <c r="C16" s="52" t="s">
        <v>112</v>
      </c>
      <c r="D16" s="53" t="str">
        <f>D6&amp;"||+||"&amp;D7&amp;"||+||"&amp;D8&amp;"||+||"&amp;D9&amp;"||+||"&amp;D10&amp;"||+||"&amp;D13&amp;"||+||"&amp;D12&amp;"||+||"&amp;D14&amp;"||+||"&amp;D15&amp;"||+||"&amp;D5</f>
        <v>300-020 · Revenue - Tea/Coffee||+||300-030 · Revenue - Wines||+||300-050 · Revenue - Liquor||+||300-060 · Revenue - Beer||+||300-070 · Revenue - Juice||+||300-080 · Revenue - Retail||+||300-090 · 4% Health and Care Fee||+||300-110 · Revenue - Admin Fees||+||300-100 · Revenue - Room Rental||+||300-010 · Revenue - Food</v>
      </c>
      <c r="E16" s="47" t="str">
        <f>"(||"&amp;C5&amp;"||+||"&amp;C6&amp;"||+||"&amp;C7&amp;"||+||"&amp;C8&amp;"||+||"&amp;C9&amp;"||+||"&amp;C12&amp;"||+||"&amp;C13&amp;"||+||"&amp;C14&amp;"||+||"&amp;C10&amp;"||+||"&amp;C15&amp;"||)||/||"&amp;C16</f>
        <v>(||Revenue - Food||+||Revenue - Tea/Coffee||+||Revenue - Wines||+||Revenue - Liquor||+||Revenue - Beer||+||Revenue - 4% Health and Care Fee||+||Revenue - Retail||+||Revenue - Admin Fees||+||Revenue - Juice||+||Revenue - Room Rental||)||/||TOTAL REVENUE</v>
      </c>
      <c r="F16" s="48"/>
    </row>
    <row r="17" spans="1:6">
      <c r="A17" s="45" t="s">
        <v>584</v>
      </c>
      <c r="B17" s="51" t="s">
        <v>106</v>
      </c>
      <c r="C17" s="52" t="s">
        <v>106</v>
      </c>
      <c r="D17" s="53"/>
      <c r="E17" s="47"/>
      <c r="F17" s="48"/>
    </row>
    <row r="18" spans="1:6">
      <c r="A18" s="54" t="s">
        <v>584</v>
      </c>
      <c r="B18" s="55" t="s">
        <v>113</v>
      </c>
      <c r="C18" s="55" t="s">
        <v>1</v>
      </c>
      <c r="D18" s="56" t="s">
        <v>52</v>
      </c>
      <c r="E18" s="57" t="str">
        <f t="shared" ref="E18:E23" si="1">C18&amp;"||/||"&amp;C5</f>
        <v>Cost of Sales - Food||/||Revenue - Food</v>
      </c>
      <c r="F18" s="58"/>
    </row>
    <row r="19" spans="1:6">
      <c r="A19" s="54" t="s">
        <v>584</v>
      </c>
      <c r="B19" s="55" t="s">
        <v>113</v>
      </c>
      <c r="C19" s="55" t="s">
        <v>313</v>
      </c>
      <c r="D19" s="56" t="s">
        <v>252</v>
      </c>
      <c r="E19" s="57" t="str">
        <f t="shared" si="1"/>
        <v>Cost of Sales - Tea/Coffee||/||Revenue - Tea/Coffee</v>
      </c>
      <c r="F19" s="58"/>
    </row>
    <row r="20" spans="1:6">
      <c r="A20" s="54" t="s">
        <v>584</v>
      </c>
      <c r="B20" s="55" t="s">
        <v>113</v>
      </c>
      <c r="C20" s="55" t="s">
        <v>314</v>
      </c>
      <c r="D20" s="56" t="s">
        <v>53</v>
      </c>
      <c r="E20" s="57" t="str">
        <f t="shared" si="1"/>
        <v>Cost of Sales - Wine||/||Revenue - Wines</v>
      </c>
      <c r="F20" s="58"/>
    </row>
    <row r="21" spans="1:6">
      <c r="A21" s="54" t="s">
        <v>584</v>
      </c>
      <c r="B21" s="55" t="s">
        <v>113</v>
      </c>
      <c r="C21" s="55" t="s">
        <v>115</v>
      </c>
      <c r="D21" s="56" t="s">
        <v>54</v>
      </c>
      <c r="E21" s="57" t="str">
        <f t="shared" si="1"/>
        <v>Cost of Sales - Liquor||/||Revenue - Liquor</v>
      </c>
      <c r="F21" s="58"/>
    </row>
    <row r="22" spans="1:6">
      <c r="A22" s="54" t="s">
        <v>584</v>
      </c>
      <c r="B22" s="55" t="s">
        <v>113</v>
      </c>
      <c r="C22" s="55" t="s">
        <v>116</v>
      </c>
      <c r="D22" s="56" t="s">
        <v>55</v>
      </c>
      <c r="E22" s="57" t="str">
        <f t="shared" si="1"/>
        <v>Cost of Sales - Beer||/||Revenue - Beer</v>
      </c>
      <c r="F22" s="58"/>
    </row>
    <row r="23" spans="1:6">
      <c r="A23" s="54" t="s">
        <v>584</v>
      </c>
      <c r="B23" s="55" t="s">
        <v>113</v>
      </c>
      <c r="C23" s="55" t="s">
        <v>315</v>
      </c>
      <c r="D23" s="56" t="s">
        <v>589</v>
      </c>
      <c r="E23" s="57" t="str">
        <f t="shared" si="1"/>
        <v>Cost of sales - Juice||/||Revenue - Juice</v>
      </c>
      <c r="F23" s="58"/>
    </row>
    <row r="24" spans="1:6">
      <c r="A24" s="54" t="s">
        <v>584</v>
      </c>
      <c r="B24" s="55" t="s">
        <v>113</v>
      </c>
      <c r="C24" s="55" t="s">
        <v>316</v>
      </c>
      <c r="D24" s="56" t="s">
        <v>590</v>
      </c>
      <c r="E24" s="57" t="str">
        <f>C24&amp;"||/||"&amp;C13</f>
        <v>Cost of Sales - Retail||/||Revenue - Retail</v>
      </c>
      <c r="F24" s="58"/>
    </row>
    <row r="25" spans="1:6" ht="28.8">
      <c r="A25" s="54" t="s">
        <v>584</v>
      </c>
      <c r="B25" s="55" t="s">
        <v>113</v>
      </c>
      <c r="C25" s="55" t="s">
        <v>117</v>
      </c>
      <c r="D25" s="56" t="str">
        <f>D19&amp;"||+||"&amp;D20&amp;"||+||"&amp;D21&amp;"||+||"&amp;D22&amp;"||+||"&amp;D23</f>
        <v>415-000 · Cost of Sales - Tea/Coffee||+||420-000 · Cost of Sales - Wine||+||425-000 · Cost of Sales - Liquor||+||430-000 · Cost of Sales - Beer||+||435-000 · Cost of Sales - Juice</v>
      </c>
      <c r="E25" s="57" t="str">
        <f>C25&amp;"||/||"&amp;C16</f>
        <v>Cost of Sales - Beverages||/||TOTAL REVENUE</v>
      </c>
      <c r="F25" s="58">
        <v>2</v>
      </c>
    </row>
    <row r="26" spans="1:6">
      <c r="A26" s="54" t="s">
        <v>584</v>
      </c>
      <c r="B26" s="59" t="s">
        <v>113</v>
      </c>
      <c r="C26" s="59" t="s">
        <v>118</v>
      </c>
      <c r="D26" s="59" t="str">
        <f>D19&amp;"||+||"&amp;D20&amp;"||+||"&amp;D21&amp;"||+||"&amp;D22&amp;"||+||"&amp;D24&amp;"||+||"&amp;D23&amp;"||+||"&amp;D18</f>
        <v>415-000 · Cost of Sales - Tea/Coffee||+||420-000 · Cost of Sales - Wine||+||425-000 · Cost of Sales - Liquor||+||430-000 · Cost of Sales - Beer||+||445-000 · Cost of Sales - Retails||+||435-000 · Cost of Sales - Juice||+||410-000 · Cost of Sales - Food</v>
      </c>
      <c r="E26" s="57" t="str">
        <f>C26&amp;"||/||"&amp;C16</f>
        <v>TOTAL COST OF GOODS SOLD||/||TOTAL REVENUE</v>
      </c>
      <c r="F26" s="58"/>
    </row>
    <row r="27" spans="1:6">
      <c r="A27" s="54" t="s">
        <v>584</v>
      </c>
      <c r="B27" s="59" t="s">
        <v>106</v>
      </c>
      <c r="C27" s="59" t="s">
        <v>106</v>
      </c>
      <c r="D27" s="60"/>
      <c r="E27" s="57"/>
      <c r="F27" s="58"/>
    </row>
    <row r="28" spans="1:6">
      <c r="A28" s="61" t="s">
        <v>584</v>
      </c>
      <c r="B28" s="62" t="s">
        <v>119</v>
      </c>
      <c r="C28" s="62" t="s">
        <v>120</v>
      </c>
      <c r="D28" s="63" t="str">
        <f t="shared" ref="D28:D33" si="2">D5&amp;"||-||"&amp;D18</f>
        <v>300-010 · Revenue - Food||-||410-000 · Cost of Sales - Food</v>
      </c>
      <c r="E28" s="64" t="str">
        <f t="shared" ref="E28:E33" si="3">C28&amp;"||/||"&amp;C5</f>
        <v>Gross Profit - Food||/||Revenue - Food</v>
      </c>
      <c r="F28" s="65"/>
    </row>
    <row r="29" spans="1:6">
      <c r="A29" s="61" t="s">
        <v>584</v>
      </c>
      <c r="B29" s="62" t="s">
        <v>119</v>
      </c>
      <c r="C29" s="62" t="s">
        <v>317</v>
      </c>
      <c r="D29" s="63" t="str">
        <f t="shared" si="2"/>
        <v>300-020 · Revenue - Tea/Coffee||-||415-000 · Cost of Sales - Tea/Coffee</v>
      </c>
      <c r="E29" s="64" t="str">
        <f t="shared" si="3"/>
        <v>Gross Profit - Tea/Coffee||/||Revenue - Tea/Coffee</v>
      </c>
      <c r="F29" s="65"/>
    </row>
    <row r="30" spans="1:6">
      <c r="A30" s="61" t="s">
        <v>584</v>
      </c>
      <c r="B30" s="62" t="s">
        <v>119</v>
      </c>
      <c r="C30" s="62" t="s">
        <v>121</v>
      </c>
      <c r="D30" s="63" t="str">
        <f t="shared" si="2"/>
        <v>300-030 · Revenue - Wines||-||420-000 · Cost of Sales - Wine</v>
      </c>
      <c r="E30" s="64" t="str">
        <f t="shared" si="3"/>
        <v>Gross Profit - Wines||/||Revenue - Wines</v>
      </c>
      <c r="F30" s="65"/>
    </row>
    <row r="31" spans="1:6">
      <c r="A31" s="61" t="s">
        <v>584</v>
      </c>
      <c r="B31" s="62" t="s">
        <v>119</v>
      </c>
      <c r="C31" s="62" t="s">
        <v>122</v>
      </c>
      <c r="D31" s="63" t="str">
        <f t="shared" si="2"/>
        <v>300-050 · Revenue - Liquor||-||425-000 · Cost of Sales - Liquor</v>
      </c>
      <c r="E31" s="64" t="str">
        <f t="shared" si="3"/>
        <v>Gross Profit - Liquor||/||Revenue - Liquor</v>
      </c>
      <c r="F31" s="65"/>
    </row>
    <row r="32" spans="1:6">
      <c r="A32" s="61" t="s">
        <v>584</v>
      </c>
      <c r="B32" s="62" t="s">
        <v>119</v>
      </c>
      <c r="C32" s="62" t="s">
        <v>123</v>
      </c>
      <c r="D32" s="63" t="str">
        <f t="shared" si="2"/>
        <v>300-060 · Revenue - Beer||-||430-000 · Cost of Sales - Beer</v>
      </c>
      <c r="E32" s="64" t="str">
        <f t="shared" si="3"/>
        <v>Gross Profit - Beer||/||Revenue - Beer</v>
      </c>
      <c r="F32" s="65"/>
    </row>
    <row r="33" spans="1:6">
      <c r="A33" s="61" t="s">
        <v>584</v>
      </c>
      <c r="B33" s="62" t="s">
        <v>119</v>
      </c>
      <c r="C33" s="62" t="s">
        <v>318</v>
      </c>
      <c r="D33" s="63" t="str">
        <f t="shared" si="2"/>
        <v>300-070 · Revenue - Juice||-||435-000 · Cost of Sales - Juice</v>
      </c>
      <c r="E33" s="64" t="str">
        <f t="shared" si="3"/>
        <v>Gross Profit - Juice||/||Revenue - Juice</v>
      </c>
      <c r="F33" s="65"/>
    </row>
    <row r="34" spans="1:6">
      <c r="A34" s="61" t="s">
        <v>584</v>
      </c>
      <c r="B34" s="62" t="s">
        <v>119</v>
      </c>
      <c r="C34" s="62" t="s">
        <v>319</v>
      </c>
      <c r="D34" s="63" t="str">
        <f>D13&amp;"||-||"&amp;D24</f>
        <v>300-080 · Revenue - Retail||-||445-000 · Cost of Sales - Retails</v>
      </c>
      <c r="E34" s="64" t="str">
        <f>C34&amp;"||/||"&amp;C13</f>
        <v>Gross Profit - Retail||/||Revenue - Retail</v>
      </c>
      <c r="F34" s="65"/>
    </row>
    <row r="35" spans="1:6" ht="28.8">
      <c r="A35" s="61" t="s">
        <v>584</v>
      </c>
      <c r="B35" s="62" t="s">
        <v>119</v>
      </c>
      <c r="C35" s="62" t="s">
        <v>436</v>
      </c>
      <c r="D35" s="63" t="s">
        <v>588</v>
      </c>
      <c r="E35" s="64" t="str">
        <f>C35&amp;"||/||"&amp;C14</f>
        <v>Gross Profit - 4% Health and Care Fee||/||Revenue - Admin Fees</v>
      </c>
      <c r="F35" s="65"/>
    </row>
    <row r="36" spans="1:6">
      <c r="A36" s="61" t="s">
        <v>584</v>
      </c>
      <c r="B36" s="62" t="s">
        <v>119</v>
      </c>
      <c r="C36" s="62" t="s">
        <v>320</v>
      </c>
      <c r="D36" s="63" t="s">
        <v>670</v>
      </c>
      <c r="E36" s="64" t="str">
        <f>C36&amp;"||/||"&amp;C15</f>
        <v>Gross Profit - Admin Fees||/||Revenue - Room Rental</v>
      </c>
      <c r="F36" s="65"/>
    </row>
    <row r="37" spans="1:6">
      <c r="A37" s="61" t="s">
        <v>584</v>
      </c>
      <c r="B37" s="62" t="s">
        <v>119</v>
      </c>
      <c r="C37" s="62" t="s">
        <v>321</v>
      </c>
      <c r="D37" s="63" t="s">
        <v>251</v>
      </c>
      <c r="E37" s="64" t="str">
        <f>C37&amp;"||/||"&amp;C16</f>
        <v>Gross Profit - Room Rental||/||TOTAL REVENUE</v>
      </c>
      <c r="F37" s="65"/>
    </row>
    <row r="38" spans="1:6" ht="57.6">
      <c r="A38" s="61" t="s">
        <v>584</v>
      </c>
      <c r="B38" s="62" t="s">
        <v>119</v>
      </c>
      <c r="C38" s="62" t="s">
        <v>124</v>
      </c>
      <c r="D38" s="63" t="str">
        <f>D29&amp;"||+||"&amp;D30&amp;"||+||"&amp;D31&amp;"||+||"&amp;D32&amp;"||+||"&amp;D33</f>
        <v>300-020 · Revenue - Tea/Coffee||-||415-000 · Cost of Sales - Tea/Coffee||+||300-030 · Revenue - Wines||-||420-000 · Cost of Sales - Wine||+||300-050 · Revenue - Liquor||-||425-000 · Cost of Sales - Liquor||+||300-060 · Revenue - Beer||-||430-000 · Cost of Sales - Beer||+||300-070 · Revenue - Juice||-||435-000 · Cost of Sales - Juice</v>
      </c>
      <c r="E38" s="64" t="str">
        <f>C38&amp;"||/||"&amp;C16</f>
        <v>Gross Profit - Beverages||/||TOTAL REVENUE</v>
      </c>
      <c r="F38" s="65">
        <v>3</v>
      </c>
    </row>
    <row r="39" spans="1:6" ht="86.4">
      <c r="A39" s="61" t="s">
        <v>584</v>
      </c>
      <c r="B39" s="66" t="s">
        <v>119</v>
      </c>
      <c r="C39" s="66" t="s">
        <v>125</v>
      </c>
      <c r="D39" s="67" t="str">
        <f>D30&amp;"||+||"&amp;D31&amp;"||+||"&amp;D32&amp;"||+||"&amp;D34&amp;"||+||"&amp;D33&amp;"||+||"&amp;D35&amp;"||+||"&amp;D36&amp;"||+||"&amp;D28&amp;"||+||"&amp;D29&amp;"||+||"&amp;D37</f>
        <v>300-030 · Revenue - Wines||-||420-000 · Cost of Sales - Wine||+||300-050 · Revenue - Liquor||-||425-000 · Cost of Sales - Liquor||+||300-060 · Revenue - Beer||-||430-000 · Cost of Sales - Beer||+||300-080 · Revenue - Retail||-||445-000 · Cost of Sales - Retails||+||300-070 · Revenue - Juice||-||435-000 · Cost of Sales - Juice||+||300-090 · 4% Health and Care Fee||+||300-110 · Revenue - Admin Fees||+||300-010 · Revenue - Food||-||410-000 · Cost of Sales - Food||+||300-020 · Revenue - Tea/Coffee||-||415-000 · Cost of Sales - Tea/Coffee||+||300-100 · Revenue - Room Rental</v>
      </c>
      <c r="E39" s="64" t="str">
        <f>C39&amp;"||/||"&amp;C16</f>
        <v>TOTAL GROSS PROFIT||/||TOTAL REVENUE</v>
      </c>
      <c r="F39" s="65"/>
    </row>
    <row r="40" spans="1:6">
      <c r="A40" s="61" t="s">
        <v>584</v>
      </c>
      <c r="B40" s="66" t="s">
        <v>106</v>
      </c>
      <c r="C40" s="66" t="s">
        <v>106</v>
      </c>
      <c r="D40" s="67"/>
      <c r="E40" s="64"/>
      <c r="F40" s="65"/>
    </row>
    <row r="41" spans="1:6">
      <c r="A41" s="68" t="s">
        <v>584</v>
      </c>
      <c r="B41" s="69" t="s">
        <v>126</v>
      </c>
      <c r="C41" s="69" t="s">
        <v>792</v>
      </c>
      <c r="D41" s="70" t="s">
        <v>790</v>
      </c>
      <c r="E41" s="71" t="str">
        <f t="shared" ref="E41:E53" si="4">C41&amp;"||/||"&amp;$C$16</f>
        <v>Wages - F.O.H. Salaried||/||TOTAL REVENUE</v>
      </c>
      <c r="F41" s="72"/>
    </row>
    <row r="42" spans="1:6">
      <c r="A42" s="68" t="s">
        <v>584</v>
      </c>
      <c r="B42" s="69" t="s">
        <v>126</v>
      </c>
      <c r="C42" s="69" t="s">
        <v>323</v>
      </c>
      <c r="D42" s="70" t="s">
        <v>591</v>
      </c>
      <c r="E42" s="71" t="str">
        <f t="shared" si="4"/>
        <v>Wages - F.O.H. Hourly||/||TOTAL REVENUE</v>
      </c>
      <c r="F42" s="72"/>
    </row>
    <row r="43" spans="1:6">
      <c r="A43" s="68" t="s">
        <v>584</v>
      </c>
      <c r="B43" s="69" t="s">
        <v>126</v>
      </c>
      <c r="C43" s="69" t="s">
        <v>324</v>
      </c>
      <c r="D43" s="70" t="s">
        <v>592</v>
      </c>
      <c r="E43" s="71" t="str">
        <f t="shared" si="4"/>
        <v>FOH-Bonus||/||TOTAL REVENUE</v>
      </c>
      <c r="F43" s="72"/>
    </row>
    <row r="44" spans="1:6">
      <c r="A44" s="68" t="s">
        <v>584</v>
      </c>
      <c r="B44" s="69" t="s">
        <v>126</v>
      </c>
      <c r="C44" s="69" t="s">
        <v>793</v>
      </c>
      <c r="D44" s="70" t="s">
        <v>791</v>
      </c>
      <c r="E44" s="71" t="str">
        <f t="shared" si="4"/>
        <v>Wages - B.O.H. Salaried||/||TOTAL REVENUE</v>
      </c>
      <c r="F44" s="72"/>
    </row>
    <row r="45" spans="1:6">
      <c r="A45" s="68" t="s">
        <v>584</v>
      </c>
      <c r="B45" s="69" t="s">
        <v>126</v>
      </c>
      <c r="C45" s="69" t="s">
        <v>326</v>
      </c>
      <c r="D45" s="70" t="s">
        <v>593</v>
      </c>
      <c r="E45" s="71" t="str">
        <f t="shared" si="4"/>
        <v>BOH-Bonus||/||TOTAL REVENUE</v>
      </c>
      <c r="F45" s="72"/>
    </row>
    <row r="46" spans="1:6">
      <c r="A46" s="68" t="s">
        <v>584</v>
      </c>
      <c r="B46" s="69" t="s">
        <v>126</v>
      </c>
      <c r="C46" s="69" t="s">
        <v>327</v>
      </c>
      <c r="D46" s="70" t="s">
        <v>594</v>
      </c>
      <c r="E46" s="71" t="str">
        <f t="shared" si="4"/>
        <v>Wages - B.O.H. Hourly||/||TOTAL REVENUE</v>
      </c>
      <c r="F46" s="72"/>
    </row>
    <row r="47" spans="1:6">
      <c r="A47" s="68" t="s">
        <v>584</v>
      </c>
      <c r="B47" s="69" t="s">
        <v>126</v>
      </c>
      <c r="C47" s="69" t="s">
        <v>328</v>
      </c>
      <c r="D47" s="70" t="s">
        <v>260</v>
      </c>
      <c r="E47" s="71" t="str">
        <f t="shared" si="4"/>
        <v>Training Wages||/||TOTAL REVENUE</v>
      </c>
      <c r="F47" s="72"/>
    </row>
    <row r="48" spans="1:6">
      <c r="A48" s="68" t="s">
        <v>584</v>
      </c>
      <c r="B48" s="69" t="s">
        <v>126</v>
      </c>
      <c r="C48" s="69" t="s">
        <v>329</v>
      </c>
      <c r="D48" s="70" t="s">
        <v>261</v>
      </c>
      <c r="E48" s="71" t="str">
        <f t="shared" si="4"/>
        <v>Wages - Office||/||TOTAL REVENUE</v>
      </c>
      <c r="F48" s="72"/>
    </row>
    <row r="49" spans="1:6">
      <c r="A49" s="68" t="s">
        <v>584</v>
      </c>
      <c r="B49" s="69" t="s">
        <v>126</v>
      </c>
      <c r="C49" s="69" t="s">
        <v>437</v>
      </c>
      <c r="D49" s="70" t="s">
        <v>443</v>
      </c>
      <c r="E49" s="71" t="str">
        <f t="shared" si="4"/>
        <v>Wages - Vacation Pay||/||TOTAL REVENUE</v>
      </c>
      <c r="F49" s="72"/>
    </row>
    <row r="50" spans="1:6">
      <c r="A50" s="68" t="s">
        <v>584</v>
      </c>
      <c r="B50" s="69" t="s">
        <v>126</v>
      </c>
      <c r="C50" s="69" t="s">
        <v>330</v>
      </c>
      <c r="D50" s="70" t="s">
        <v>444</v>
      </c>
      <c r="E50" s="71" t="str">
        <f t="shared" si="4"/>
        <v>Wages - Contract Labor||/||TOTAL REVENUE</v>
      </c>
      <c r="F50" s="72"/>
    </row>
    <row r="51" spans="1:6">
      <c r="A51" s="68" t="s">
        <v>584</v>
      </c>
      <c r="B51" s="69" t="s">
        <v>126</v>
      </c>
      <c r="C51" s="69" t="s">
        <v>331</v>
      </c>
      <c r="D51" s="70" t="s">
        <v>263</v>
      </c>
      <c r="E51" s="71" t="str">
        <f t="shared" si="4"/>
        <v>Internal Commission||/||TOTAL REVENUE</v>
      </c>
      <c r="F51" s="72"/>
    </row>
    <row r="52" spans="1:6">
      <c r="A52" s="68" t="s">
        <v>584</v>
      </c>
      <c r="B52" s="69" t="s">
        <v>126</v>
      </c>
      <c r="C52" s="69" t="s">
        <v>451</v>
      </c>
      <c r="D52" s="70" t="s">
        <v>450</v>
      </c>
      <c r="E52" s="71" t="str">
        <f t="shared" si="4"/>
        <v>PPP Expenses||/||TOTAL REVENUE</v>
      </c>
      <c r="F52" s="72"/>
    </row>
    <row r="53" spans="1:6">
      <c r="A53" s="68" t="s">
        <v>584</v>
      </c>
      <c r="B53" s="74" t="s">
        <v>126</v>
      </c>
      <c r="C53" s="74" t="s">
        <v>129</v>
      </c>
      <c r="D53" s="74" t="str">
        <f>D41&amp;"||+||"&amp;D42&amp;"||+||"&amp;D43&amp;"||+||"&amp;D44&amp;"||+||"&amp;D45&amp;"||+||"&amp;D46&amp;"||+||"&amp;D47&amp;"||+||"&amp;D48&amp;"||+||"&amp;D49&amp;"||+||"&amp;D50&amp;"||+||"&amp;D52&amp;"||+||"&amp;D51</f>
        <v>600-120 · Wages - F.O.H. Salaried||+||600-130 · Wages - F.O.H. Hourly||+||600-110 · FOH-Bonus||+||600-410 · Wages - B.O.H. Salaried||+||600-400 · BOH-Bonus||+||600-420 · Wages - B.O.H. Hourly||+||600-050 · Training Wages||+||600-055 · Wages - Office||+||600-060 · Wages - Vacation Pay||+||600-065 · Wages - Contract Labor||+||600-100 · PPP Expenses||+||600-070 · Internal Commission</v>
      </c>
      <c r="E53" s="71" t="str">
        <f t="shared" si="4"/>
        <v>TOTAL STAFF COST||/||TOTAL REVENUE</v>
      </c>
      <c r="F53" s="72"/>
    </row>
    <row r="54" spans="1:6">
      <c r="A54" s="75" t="s">
        <v>584</v>
      </c>
      <c r="B54" s="76" t="s">
        <v>106</v>
      </c>
      <c r="C54" s="76" t="s">
        <v>106</v>
      </c>
      <c r="D54" s="77"/>
      <c r="E54" s="78"/>
      <c r="F54" s="79"/>
    </row>
    <row r="55" spans="1:6">
      <c r="A55" s="75" t="s">
        <v>584</v>
      </c>
      <c r="B55" s="75" t="s">
        <v>126</v>
      </c>
      <c r="C55" s="75" t="s">
        <v>127</v>
      </c>
      <c r="D55" s="81" t="s">
        <v>58</v>
      </c>
      <c r="E55" s="78" t="str">
        <f t="shared" ref="E55:E132" si="5">C55&amp;"||/||"&amp;$C$16</f>
        <v>Employer Taxes||/||TOTAL REVENUE</v>
      </c>
      <c r="F55" s="79"/>
    </row>
    <row r="56" spans="1:6">
      <c r="A56" s="75" t="s">
        <v>584</v>
      </c>
      <c r="B56" s="80" t="s">
        <v>130</v>
      </c>
      <c r="C56" s="80" t="s">
        <v>131</v>
      </c>
      <c r="D56" s="81" t="s">
        <v>595</v>
      </c>
      <c r="E56" s="78" t="str">
        <f t="shared" si="5"/>
        <v>Staff Workman's Comp||/||TOTAL REVENUE</v>
      </c>
      <c r="F56" s="79"/>
    </row>
    <row r="57" spans="1:6">
      <c r="A57" s="75" t="s">
        <v>584</v>
      </c>
      <c r="B57" s="80" t="s">
        <v>130</v>
      </c>
      <c r="C57" s="80" t="s">
        <v>332</v>
      </c>
      <c r="D57" s="81" t="s">
        <v>596</v>
      </c>
      <c r="E57" s="78" t="str">
        <f t="shared" si="5"/>
        <v>Staff Insurance||/||TOTAL REVENUE</v>
      </c>
      <c r="F57" s="79"/>
    </row>
    <row r="58" spans="1:6">
      <c r="A58" s="75" t="s">
        <v>584</v>
      </c>
      <c r="B58" s="80" t="s">
        <v>130</v>
      </c>
      <c r="C58" s="80" t="s">
        <v>132</v>
      </c>
      <c r="D58" s="81" t="s">
        <v>597</v>
      </c>
      <c r="E58" s="78" t="str">
        <f t="shared" si="5"/>
        <v>Staff Recruitment||/||TOTAL REVENUE</v>
      </c>
      <c r="F58" s="79"/>
    </row>
    <row r="59" spans="1:6">
      <c r="A59" s="75" t="s">
        <v>584</v>
      </c>
      <c r="B59" s="80" t="s">
        <v>130</v>
      </c>
      <c r="C59" s="80" t="s">
        <v>133</v>
      </c>
      <c r="D59" s="81" t="s">
        <v>598</v>
      </c>
      <c r="E59" s="78" t="str">
        <f t="shared" si="5"/>
        <v>Staff Uniforms||/||TOTAL REVENUE</v>
      </c>
      <c r="F59" s="79"/>
    </row>
    <row r="60" spans="1:6">
      <c r="A60" s="75" t="s">
        <v>584</v>
      </c>
      <c r="B60" s="80" t="s">
        <v>130</v>
      </c>
      <c r="C60" s="80" t="s">
        <v>128</v>
      </c>
      <c r="D60" s="81" t="s">
        <v>599</v>
      </c>
      <c r="E60" s="78" t="str">
        <f>C60&amp;"||/||"&amp;$C$16</f>
        <v>Staff Meals||/||TOTAL REVENUE</v>
      </c>
      <c r="F60" s="79"/>
    </row>
    <row r="61" spans="1:6">
      <c r="A61" s="75" t="s">
        <v>584</v>
      </c>
      <c r="B61" s="80" t="s">
        <v>130</v>
      </c>
      <c r="C61" s="80" t="s">
        <v>333</v>
      </c>
      <c r="D61" s="81" t="s">
        <v>600</v>
      </c>
      <c r="E61" s="78" t="str">
        <f t="shared" si="5"/>
        <v>Staff Welfare||/||TOTAL REVENUE</v>
      </c>
      <c r="F61" s="79"/>
    </row>
    <row r="62" spans="1:6">
      <c r="A62" s="75" t="s">
        <v>584</v>
      </c>
      <c r="B62" s="80" t="s">
        <v>130</v>
      </c>
      <c r="C62" s="80" t="s">
        <v>135</v>
      </c>
      <c r="D62" s="81" t="s">
        <v>601</v>
      </c>
      <c r="E62" s="78" t="str">
        <f t="shared" si="5"/>
        <v>Staff First Aid||/||TOTAL REVENUE</v>
      </c>
      <c r="F62" s="79"/>
    </row>
    <row r="63" spans="1:6">
      <c r="A63" s="75" t="s">
        <v>584</v>
      </c>
      <c r="B63" s="76" t="s">
        <v>130</v>
      </c>
      <c r="C63" s="76" t="s">
        <v>3</v>
      </c>
      <c r="D63" s="76" t="str">
        <f>D55&amp;"||+||"&amp;D56&amp;"||+||"&amp;D57&amp;"||+||"&amp;D58&amp;"||+||"&amp;D59&amp;"||+||"&amp;D60&amp;"||+||"&amp;D61&amp;"||+||"&amp;D62</f>
        <v>600-500 · Employer Taxes||+||601-201 · Staff Workman's Comp||+||601-250 · Staff Insurance||+||601-202 · Staff Recruitment||+||601-204 · Staff Uniforms||+||601-205 · Staff Meals||+||601-206 · Staff Welfare||+||601-208 · Staff First Aid</v>
      </c>
      <c r="E63" s="78" t="str">
        <f t="shared" si="5"/>
        <v>TOTAL OTHER STAFF COST||/||TOTAL REVENUE</v>
      </c>
      <c r="F63" s="79"/>
    </row>
    <row r="64" spans="1:6">
      <c r="A64" s="68" t="s">
        <v>584</v>
      </c>
      <c r="B64" s="74" t="s">
        <v>106</v>
      </c>
      <c r="C64" s="74" t="s">
        <v>106</v>
      </c>
      <c r="D64" s="82"/>
      <c r="E64" s="71"/>
      <c r="F64" s="72"/>
    </row>
    <row r="65" spans="1:6">
      <c r="A65" s="68" t="s">
        <v>584</v>
      </c>
      <c r="B65" s="69" t="s">
        <v>334</v>
      </c>
      <c r="C65" s="96" t="s">
        <v>167</v>
      </c>
      <c r="D65" s="70" t="s">
        <v>56</v>
      </c>
      <c r="E65" s="71" t="str">
        <f>C65&amp;"||/||"&amp;$C$16</f>
        <v>Use Tax on Comps||/||TOTAL REVENUE</v>
      </c>
      <c r="F65" s="72"/>
    </row>
    <row r="66" spans="1:6">
      <c r="A66" s="68" t="s">
        <v>584</v>
      </c>
      <c r="B66" s="69" t="s">
        <v>334</v>
      </c>
      <c r="C66" s="69" t="s">
        <v>169</v>
      </c>
      <c r="D66" s="73" t="s">
        <v>603</v>
      </c>
      <c r="E66" s="71" t="str">
        <f t="shared" si="5"/>
        <v>Advertising||/||TOTAL REVENUE</v>
      </c>
      <c r="F66" s="72"/>
    </row>
    <row r="67" spans="1:6">
      <c r="A67" s="68" t="s">
        <v>584</v>
      </c>
      <c r="B67" s="69" t="s">
        <v>334</v>
      </c>
      <c r="C67" s="69" t="s">
        <v>136</v>
      </c>
      <c r="D67" s="73" t="s">
        <v>604</v>
      </c>
      <c r="E67" s="71" t="str">
        <f t="shared" si="5"/>
        <v>Public Relations||/||TOTAL REVENUE</v>
      </c>
      <c r="F67" s="72"/>
    </row>
    <row r="68" spans="1:6">
      <c r="A68" s="68" t="s">
        <v>584</v>
      </c>
      <c r="B68" s="69" t="s">
        <v>334</v>
      </c>
      <c r="C68" s="69" t="s">
        <v>137</v>
      </c>
      <c r="D68" s="73" t="s">
        <v>605</v>
      </c>
      <c r="E68" s="71" t="str">
        <f t="shared" si="5"/>
        <v>Branding &amp; Design||/||TOTAL REVENUE</v>
      </c>
      <c r="F68" s="72"/>
    </row>
    <row r="69" spans="1:6">
      <c r="A69" s="68" t="s">
        <v>584</v>
      </c>
      <c r="B69" s="69" t="s">
        <v>334</v>
      </c>
      <c r="C69" s="69" t="s">
        <v>335</v>
      </c>
      <c r="D69" s="73" t="s">
        <v>606</v>
      </c>
      <c r="E69" s="71" t="str">
        <f t="shared" si="5"/>
        <v>R &amp; D||/||TOTAL REVENUE</v>
      </c>
      <c r="F69" s="72"/>
    </row>
    <row r="70" spans="1:6">
      <c r="A70" s="68" t="s">
        <v>584</v>
      </c>
      <c r="B70" s="69" t="s">
        <v>334</v>
      </c>
      <c r="C70" s="69" t="s">
        <v>138</v>
      </c>
      <c r="D70" s="73" t="s">
        <v>607</v>
      </c>
      <c r="E70" s="71" t="str">
        <f t="shared" si="5"/>
        <v>Event Expenses||/||TOTAL REVENUE</v>
      </c>
      <c r="F70" s="72"/>
    </row>
    <row r="71" spans="1:6">
      <c r="A71" s="68" t="s">
        <v>584</v>
      </c>
      <c r="B71" s="69" t="s">
        <v>334</v>
      </c>
      <c r="C71" s="69" t="s">
        <v>336</v>
      </c>
      <c r="D71" s="73" t="s">
        <v>608</v>
      </c>
      <c r="E71" s="71" t="str">
        <f t="shared" si="5"/>
        <v>External Commission Expense||/||TOTAL REVENUE</v>
      </c>
      <c r="F71" s="72"/>
    </row>
    <row r="72" spans="1:6">
      <c r="A72" s="68" t="s">
        <v>584</v>
      </c>
      <c r="B72" s="69" t="s">
        <v>334</v>
      </c>
      <c r="C72" s="69" t="s">
        <v>337</v>
      </c>
      <c r="D72" s="73" t="s">
        <v>609</v>
      </c>
      <c r="E72" s="71" t="str">
        <f t="shared" si="5"/>
        <v>Valet Parking||/||TOTAL REVENUE</v>
      </c>
      <c r="F72" s="72"/>
    </row>
    <row r="73" spans="1:6">
      <c r="A73" s="68" t="s">
        <v>584</v>
      </c>
      <c r="B73" s="69" t="s">
        <v>334</v>
      </c>
      <c r="C73" s="69" t="s">
        <v>141</v>
      </c>
      <c r="D73" s="73" t="s">
        <v>610</v>
      </c>
      <c r="E73" s="71" t="str">
        <f t="shared" si="5"/>
        <v>Subscriptions||/||TOTAL REVENUE</v>
      </c>
      <c r="F73" s="72"/>
    </row>
    <row r="74" spans="1:6">
      <c r="A74" s="68" t="s">
        <v>584</v>
      </c>
      <c r="B74" s="69" t="s">
        <v>334</v>
      </c>
      <c r="C74" s="69" t="s">
        <v>338</v>
      </c>
      <c r="D74" s="73" t="s">
        <v>611</v>
      </c>
      <c r="E74" s="71" t="str">
        <f t="shared" si="5"/>
        <v>Photography expense||/||TOTAL REVENUE</v>
      </c>
      <c r="F74" s="72"/>
    </row>
    <row r="75" spans="1:6" s="133" customFormat="1">
      <c r="A75" s="68" t="s">
        <v>584</v>
      </c>
      <c r="B75" s="69" t="s">
        <v>334</v>
      </c>
      <c r="C75" s="69" t="s">
        <v>139</v>
      </c>
      <c r="D75" s="73" t="s">
        <v>612</v>
      </c>
      <c r="E75" s="71" t="str">
        <f t="shared" si="5"/>
        <v>Complimentary Cost||/||TOTAL REVENUE</v>
      </c>
      <c r="F75" s="72"/>
    </row>
    <row r="76" spans="1:6" s="133" customFormat="1">
      <c r="A76" s="68" t="s">
        <v>584</v>
      </c>
      <c r="B76" s="69" t="s">
        <v>334</v>
      </c>
      <c r="C76" s="69" t="s">
        <v>449</v>
      </c>
      <c r="D76" s="73" t="s">
        <v>613</v>
      </c>
      <c r="E76" s="71" t="str">
        <f t="shared" si="5"/>
        <v>Web Design &amp; Maintenance||/||TOTAL REVENUE</v>
      </c>
      <c r="F76" s="72"/>
    </row>
    <row r="77" spans="1:6" s="133" customFormat="1" ht="57.6">
      <c r="A77" s="68" t="s">
        <v>584</v>
      </c>
      <c r="B77" s="74" t="s">
        <v>334</v>
      </c>
      <c r="C77" s="74" t="s">
        <v>339</v>
      </c>
      <c r="D77" s="82" t="str">
        <f>D65&amp;"||+||"&amp;D66&amp;"||+||"&amp;D67&amp;"||+||"&amp;D68&amp;"||+||"&amp;D69&amp;"||+||"&amp;D70&amp;"||+||"&amp;D71&amp;"||+||"&amp;D72&amp;"||+||"&amp;D73&amp;"||+||"&amp;D74&amp;"||+||"&amp;D75&amp;"||+||"&amp;D76</f>
        <v>490-000 · Use Tax on Comps||+||610-001 · Advertising||+||610-002 · Public Relations||+||610-004 · Branding &amp; Design||+||610-005 · R &amp; D||+||610-006 · Event Expenses||+||610-007 · External Commission Expense||+||630-003 · Valet Parking||+||610-009 · Subscriptions||+||610-010 · Photography expense||+||610-011 · Complimentary Cost||+||630-002 · Web Design &amp; Maintenance</v>
      </c>
      <c r="E77" s="71" t="str">
        <f t="shared" si="5"/>
        <v>TOTAL ADVERTISING/PROMOTION||/||TOTAL REVENUE</v>
      </c>
      <c r="F77" s="72"/>
    </row>
    <row r="78" spans="1:6" s="133" customFormat="1">
      <c r="A78" s="68" t="s">
        <v>584</v>
      </c>
      <c r="B78" s="74" t="s">
        <v>106</v>
      </c>
      <c r="C78" s="74" t="s">
        <v>106</v>
      </c>
      <c r="D78" s="82"/>
      <c r="E78" s="71"/>
      <c r="F78" s="72"/>
    </row>
    <row r="79" spans="1:6">
      <c r="A79" s="134" t="s">
        <v>584</v>
      </c>
      <c r="B79" s="134" t="s">
        <v>340</v>
      </c>
      <c r="C79" s="134" t="s">
        <v>142</v>
      </c>
      <c r="D79" s="135" t="s">
        <v>614</v>
      </c>
      <c r="E79" s="136" t="str">
        <f t="shared" si="5"/>
        <v>Airfare||/||TOTAL REVENUE</v>
      </c>
      <c r="F79" s="137"/>
    </row>
    <row r="80" spans="1:6">
      <c r="A80" s="134" t="s">
        <v>584</v>
      </c>
      <c r="B80" s="134" t="s">
        <v>340</v>
      </c>
      <c r="C80" s="134" t="s">
        <v>134</v>
      </c>
      <c r="D80" s="135" t="s">
        <v>615</v>
      </c>
      <c r="E80" s="136" t="str">
        <f t="shared" si="5"/>
        <v>Entertainment Meals||/||TOTAL REVENUE</v>
      </c>
      <c r="F80" s="137"/>
    </row>
    <row r="81" spans="1:6">
      <c r="A81" s="134" t="s">
        <v>584</v>
      </c>
      <c r="B81" s="134" t="s">
        <v>340</v>
      </c>
      <c r="C81" s="134" t="s">
        <v>341</v>
      </c>
      <c r="D81" s="135" t="s">
        <v>616</v>
      </c>
      <c r="E81" s="136" t="str">
        <f t="shared" si="5"/>
        <v>Hotel||/||TOTAL REVENUE</v>
      </c>
      <c r="F81" s="137"/>
    </row>
    <row r="82" spans="1:6">
      <c r="A82" s="134" t="s">
        <v>584</v>
      </c>
      <c r="B82" s="134" t="s">
        <v>340</v>
      </c>
      <c r="C82" s="134" t="s">
        <v>342</v>
      </c>
      <c r="D82" s="135" t="s">
        <v>617</v>
      </c>
      <c r="E82" s="136" t="str">
        <f t="shared" si="5"/>
        <v>Travel / Taxi Charges||/||TOTAL REVENUE</v>
      </c>
      <c r="F82" s="137"/>
    </row>
    <row r="83" spans="1:6">
      <c r="A83" s="134" t="s">
        <v>584</v>
      </c>
      <c r="B83" s="134" t="s">
        <v>340</v>
      </c>
      <c r="C83" s="134" t="s">
        <v>343</v>
      </c>
      <c r="D83" s="135" t="s">
        <v>618</v>
      </c>
      <c r="E83" s="136" t="str">
        <f t="shared" si="5"/>
        <v>Delivery Charges||/||TOTAL REVENUE</v>
      </c>
      <c r="F83" s="137"/>
    </row>
    <row r="84" spans="1:6">
      <c r="A84" s="134" t="s">
        <v>584</v>
      </c>
      <c r="B84" s="134" t="s">
        <v>340</v>
      </c>
      <c r="C84" s="134" t="s">
        <v>344</v>
      </c>
      <c r="D84" s="135" t="s">
        <v>619</v>
      </c>
      <c r="E84" s="136" t="str">
        <f t="shared" si="5"/>
        <v>Fuel charges||/||TOTAL REVENUE</v>
      </c>
      <c r="F84" s="137"/>
    </row>
    <row r="85" spans="1:6" ht="28.8">
      <c r="A85" s="134" t="s">
        <v>584</v>
      </c>
      <c r="B85" s="134" t="s">
        <v>340</v>
      </c>
      <c r="C85" s="138" t="s">
        <v>345</v>
      </c>
      <c r="D85" s="139" t="str">
        <f>D79&amp;"||+||"&amp;D80&amp;"||+||"&amp;D81&amp;"||+||"&amp;D82&amp;"||+||"&amp;D83&amp;"||+||"&amp;D84</f>
        <v>635-001 · Airfare||+||635-002 · Entertainment Meals||+||635-003 · Hotel||+||635-004 · Travel / Taxi Charges||+||630-004 · Delivery Charges||+||635-006 · Fuel charges</v>
      </c>
      <c r="E85" s="140" t="str">
        <f t="shared" si="5"/>
        <v>TOTAL TRAVEL &amp; ENTERAINMENT||/||TOTAL REVENUE</v>
      </c>
      <c r="F85" s="137"/>
    </row>
    <row r="86" spans="1:6">
      <c r="A86" s="68" t="s">
        <v>584</v>
      </c>
      <c r="B86" s="74" t="s">
        <v>106</v>
      </c>
      <c r="C86" s="74" t="s">
        <v>106</v>
      </c>
      <c r="D86" s="82"/>
      <c r="E86" s="82"/>
      <c r="F86" s="137"/>
    </row>
    <row r="87" spans="1:6">
      <c r="A87" s="97" t="s">
        <v>584</v>
      </c>
      <c r="B87" s="97" t="s">
        <v>346</v>
      </c>
      <c r="C87" s="97" t="s">
        <v>157</v>
      </c>
      <c r="D87" s="141" t="s">
        <v>620</v>
      </c>
      <c r="E87" s="100" t="str">
        <f t="shared" si="5"/>
        <v>Telephone||/||TOTAL REVENUE</v>
      </c>
      <c r="F87" s="137"/>
    </row>
    <row r="88" spans="1:6">
      <c r="A88" s="97" t="s">
        <v>584</v>
      </c>
      <c r="B88" s="97" t="s">
        <v>346</v>
      </c>
      <c r="C88" s="97" t="s">
        <v>159</v>
      </c>
      <c r="D88" s="141" t="s">
        <v>621</v>
      </c>
      <c r="E88" s="100" t="str">
        <f t="shared" si="5"/>
        <v>Postage/Courier||/||TOTAL REVENUE</v>
      </c>
      <c r="F88" s="137"/>
    </row>
    <row r="89" spans="1:6">
      <c r="A89" s="97" t="s">
        <v>584</v>
      </c>
      <c r="B89" s="97" t="s">
        <v>346</v>
      </c>
      <c r="C89" s="97" t="s">
        <v>158</v>
      </c>
      <c r="D89" s="141" t="s">
        <v>622</v>
      </c>
      <c r="E89" s="100" t="str">
        <f t="shared" si="5"/>
        <v>Internet/Email||/||TOTAL REVENUE</v>
      </c>
      <c r="F89" s="137"/>
    </row>
    <row r="90" spans="1:6">
      <c r="A90" s="97" t="s">
        <v>584</v>
      </c>
      <c r="B90" s="97" t="s">
        <v>346</v>
      </c>
      <c r="C90" s="98" t="s">
        <v>347</v>
      </c>
      <c r="D90" s="99" t="str">
        <f>D87&amp;"||+||"&amp;D88&amp;"||+||"&amp;D89</f>
        <v>630-005 · Telephone||+||630-007 · Postage/Courier||+||630-006 · Internet/Email</v>
      </c>
      <c r="E90" s="142" t="str">
        <f t="shared" si="5"/>
        <v>TOTAL COMMUNICATION||/||TOTAL REVENUE</v>
      </c>
      <c r="F90" s="137"/>
    </row>
    <row r="91" spans="1:6" s="133" customFormat="1">
      <c r="A91" s="83" t="s">
        <v>584</v>
      </c>
      <c r="B91" s="84" t="s">
        <v>106</v>
      </c>
      <c r="C91" s="84" t="s">
        <v>106</v>
      </c>
      <c r="D91" s="85"/>
      <c r="E91" s="86"/>
      <c r="F91" s="87"/>
    </row>
    <row r="92" spans="1:6" s="133" customFormat="1">
      <c r="A92" s="83" t="s">
        <v>584</v>
      </c>
      <c r="B92" s="88" t="s">
        <v>143</v>
      </c>
      <c r="C92" s="88" t="s">
        <v>144</v>
      </c>
      <c r="D92" s="309" t="s">
        <v>623</v>
      </c>
      <c r="E92" s="86" t="str">
        <f t="shared" si="5"/>
        <v>Linen &amp; Laundry||/||TOTAL REVENUE</v>
      </c>
      <c r="F92" s="87"/>
    </row>
    <row r="93" spans="1:6" s="133" customFormat="1">
      <c r="A93" s="83" t="s">
        <v>584</v>
      </c>
      <c r="B93" s="88" t="s">
        <v>143</v>
      </c>
      <c r="C93" s="88" t="s">
        <v>348</v>
      </c>
      <c r="D93" s="309" t="s">
        <v>624</v>
      </c>
      <c r="E93" s="86" t="str">
        <f t="shared" si="5"/>
        <v>Cleaning Contract Services||/||TOTAL REVENUE</v>
      </c>
      <c r="F93" s="87"/>
    </row>
    <row r="94" spans="1:6" s="133" customFormat="1">
      <c r="A94" s="83" t="s">
        <v>584</v>
      </c>
      <c r="B94" s="88" t="s">
        <v>143</v>
      </c>
      <c r="C94" s="88" t="s">
        <v>171</v>
      </c>
      <c r="D94" s="309" t="s">
        <v>625</v>
      </c>
      <c r="E94" s="86" t="str">
        <f t="shared" si="5"/>
        <v>Pest Control||/||TOTAL REVENUE</v>
      </c>
      <c r="F94" s="87"/>
    </row>
    <row r="95" spans="1:6" s="133" customFormat="1">
      <c r="A95" s="83" t="s">
        <v>584</v>
      </c>
      <c r="B95" s="88" t="s">
        <v>143</v>
      </c>
      <c r="C95" s="88" t="s">
        <v>349</v>
      </c>
      <c r="D95" s="309" t="s">
        <v>626</v>
      </c>
      <c r="E95" s="86" t="str">
        <f t="shared" si="5"/>
        <v>Trash/Waste Removal Service||/||TOTAL REVENUE</v>
      </c>
      <c r="F95" s="87"/>
    </row>
    <row r="96" spans="1:6" s="133" customFormat="1">
      <c r="A96" s="83" t="s">
        <v>584</v>
      </c>
      <c r="B96" s="88" t="s">
        <v>143</v>
      </c>
      <c r="C96" s="88" t="s">
        <v>350</v>
      </c>
      <c r="D96" s="309" t="s">
        <v>627</v>
      </c>
      <c r="E96" s="86" t="str">
        <f t="shared" si="5"/>
        <v>Chemical/Cleaning Supplies||/||TOTAL REVENUE</v>
      </c>
      <c r="F96" s="87"/>
    </row>
    <row r="97" spans="1:6" s="133" customFormat="1">
      <c r="A97" s="83" t="s">
        <v>584</v>
      </c>
      <c r="B97" s="88" t="s">
        <v>143</v>
      </c>
      <c r="C97" s="88" t="s">
        <v>351</v>
      </c>
      <c r="D97" s="309" t="s">
        <v>628</v>
      </c>
      <c r="E97" s="86" t="str">
        <f t="shared" si="5"/>
        <v>Disposables||/||TOTAL REVENUE</v>
      </c>
      <c r="F97" s="87"/>
    </row>
    <row r="98" spans="1:6" s="133" customFormat="1">
      <c r="A98" s="83" t="s">
        <v>584</v>
      </c>
      <c r="B98" s="88" t="s">
        <v>143</v>
      </c>
      <c r="C98" s="88" t="s">
        <v>352</v>
      </c>
      <c r="D98" s="309" t="s">
        <v>629</v>
      </c>
      <c r="E98" s="86" t="str">
        <f t="shared" si="5"/>
        <v>Housewares||/||TOTAL REVENUE</v>
      </c>
      <c r="F98" s="87"/>
    </row>
    <row r="99" spans="1:6" s="133" customFormat="1">
      <c r="A99" s="83" t="s">
        <v>584</v>
      </c>
      <c r="B99" s="88" t="s">
        <v>143</v>
      </c>
      <c r="C99" s="88" t="s">
        <v>145</v>
      </c>
      <c r="D99" s="309" t="s">
        <v>630</v>
      </c>
      <c r="E99" s="86" t="str">
        <f t="shared" si="5"/>
        <v>Chinaware||/||TOTAL REVENUE</v>
      </c>
      <c r="F99" s="87"/>
    </row>
    <row r="100" spans="1:6" s="133" customFormat="1">
      <c r="A100" s="83" t="s">
        <v>584</v>
      </c>
      <c r="B100" s="88" t="s">
        <v>143</v>
      </c>
      <c r="C100" s="88" t="s">
        <v>146</v>
      </c>
      <c r="D100" s="309" t="s">
        <v>631</v>
      </c>
      <c r="E100" s="86" t="str">
        <f t="shared" si="5"/>
        <v>Flatware||/||TOTAL REVENUE</v>
      </c>
      <c r="F100" s="87"/>
    </row>
    <row r="101" spans="1:6" s="133" customFormat="1">
      <c r="A101" s="83" t="s">
        <v>584</v>
      </c>
      <c r="B101" s="88" t="s">
        <v>143</v>
      </c>
      <c r="C101" s="88" t="s">
        <v>353</v>
      </c>
      <c r="D101" s="309" t="s">
        <v>632</v>
      </c>
      <c r="E101" s="86" t="str">
        <f t="shared" si="5"/>
        <v>Glassware||/||TOTAL REVENUE</v>
      </c>
      <c r="F101" s="87"/>
    </row>
    <row r="102" spans="1:6" s="133" customFormat="1">
      <c r="A102" s="83" t="s">
        <v>584</v>
      </c>
      <c r="B102" s="88" t="s">
        <v>143</v>
      </c>
      <c r="C102" s="88" t="s">
        <v>147</v>
      </c>
      <c r="D102" s="309" t="s">
        <v>633</v>
      </c>
      <c r="E102" s="86" t="str">
        <f t="shared" si="5"/>
        <v>Barware||/||TOTAL REVENUE</v>
      </c>
      <c r="F102" s="87"/>
    </row>
    <row r="103" spans="1:6">
      <c r="A103" s="83" t="s">
        <v>584</v>
      </c>
      <c r="B103" s="88" t="s">
        <v>143</v>
      </c>
      <c r="C103" s="88" t="s">
        <v>148</v>
      </c>
      <c r="D103" s="309" t="s">
        <v>634</v>
      </c>
      <c r="E103" s="86" t="str">
        <f t="shared" si="5"/>
        <v>Music||/||TOTAL REVENUE</v>
      </c>
      <c r="F103" s="87"/>
    </row>
    <row r="104" spans="1:6">
      <c r="A104" s="83" t="s">
        <v>584</v>
      </c>
      <c r="B104" s="88" t="s">
        <v>143</v>
      </c>
      <c r="C104" s="88" t="s">
        <v>354</v>
      </c>
      <c r="D104" s="309" t="s">
        <v>635</v>
      </c>
      <c r="E104" s="86" t="str">
        <f t="shared" si="5"/>
        <v>Flowers/Landscape||/||TOTAL REVENUE</v>
      </c>
      <c r="F104" s="87"/>
    </row>
    <row r="105" spans="1:6">
      <c r="A105" s="83" t="s">
        <v>584</v>
      </c>
      <c r="B105" s="88" t="s">
        <v>143</v>
      </c>
      <c r="C105" s="88" t="s">
        <v>149</v>
      </c>
      <c r="D105" s="309" t="s">
        <v>636</v>
      </c>
      <c r="E105" s="86" t="str">
        <f t="shared" si="5"/>
        <v>Office Supplies/Stationery||/||TOTAL REVENUE</v>
      </c>
      <c r="F105" s="87"/>
    </row>
    <row r="106" spans="1:6">
      <c r="A106" s="83" t="s">
        <v>584</v>
      </c>
      <c r="B106" s="88" t="s">
        <v>143</v>
      </c>
      <c r="C106" s="88" t="s">
        <v>150</v>
      </c>
      <c r="D106" s="309" t="s">
        <v>637</v>
      </c>
      <c r="E106" s="86" t="str">
        <f t="shared" si="5"/>
        <v>Menus||/||TOTAL REVENUE</v>
      </c>
      <c r="F106" s="87"/>
    </row>
    <row r="107" spans="1:6">
      <c r="A107" s="83" t="s">
        <v>584</v>
      </c>
      <c r="B107" s="88" t="s">
        <v>143</v>
      </c>
      <c r="C107" s="88" t="s">
        <v>140</v>
      </c>
      <c r="D107" s="309" t="s">
        <v>638</v>
      </c>
      <c r="E107" s="86" t="str">
        <f t="shared" si="5"/>
        <v>IT Cost||/||TOTAL REVENUE</v>
      </c>
      <c r="F107" s="87"/>
    </row>
    <row r="108" spans="1:6">
      <c r="A108" s="83" t="s">
        <v>584</v>
      </c>
      <c r="B108" s="88" t="s">
        <v>143</v>
      </c>
      <c r="C108" s="88" t="s">
        <v>151</v>
      </c>
      <c r="D108" s="309" t="s">
        <v>639</v>
      </c>
      <c r="E108" s="86" t="str">
        <f t="shared" si="5"/>
        <v>Equipment Rental||/||TOTAL REVENUE</v>
      </c>
      <c r="F108" s="87"/>
    </row>
    <row r="109" spans="1:6" ht="72">
      <c r="A109" s="83" t="s">
        <v>584</v>
      </c>
      <c r="B109" s="84" t="s">
        <v>143</v>
      </c>
      <c r="C109" s="84" t="s">
        <v>152</v>
      </c>
      <c r="D109" s="85" t="str">
        <f>D92&amp;"||+||"&amp;D93&amp;"||+||"&amp;D94&amp;"||+||"&amp;D95&amp;"||+||"&amp;D97&amp;"||+||"&amp;D98&amp;"||+||"&amp;D99&amp;"||+||"&amp;D100&amp;"||+||"&amp;D101&amp;"||+||"&amp;D102&amp;"||+||"&amp;D103&amp;"||+||"&amp;D104&amp;"||+||"&amp;D105&amp;"||+||"&amp;D106&amp;"||+||"&amp;D107&amp;"||+||"&amp;D108&amp;"||+||"&amp;D96</f>
        <v>650-001 · Linen &amp; Laundry||+||650-003 · Cleaning Contract Services||+||650-004 · Pest Control||+||650-005 · Trash/Waste Removal Service||+||650-025 · Housewares||+||650-024 · Disposables||+||650-010 · Chinaware||+||650-011 · Flatware||+||650-012 · Glassware||+||650-013 · Barware||+||650-014 · Music||+||650-015 · Landscape, Flowers &amp; Candles||+||650-016 · Office Supplies/Stationery||+||650-017 · Menus||+||650-018 · IT Cost||+||650-019 · Equipment Rental||+||650-051 · Chemical/Cleaning Supplies</v>
      </c>
      <c r="E109" s="86" t="str">
        <f t="shared" si="5"/>
        <v>TOTAL SUPPLIES||/||TOTAL REVENUE</v>
      </c>
      <c r="F109" s="87"/>
    </row>
    <row r="110" spans="1:6">
      <c r="A110" s="89" t="s">
        <v>584</v>
      </c>
      <c r="B110" s="90" t="s">
        <v>106</v>
      </c>
      <c r="C110" s="90" t="s">
        <v>106</v>
      </c>
      <c r="D110" s="91"/>
      <c r="E110" s="92"/>
      <c r="F110" s="93"/>
    </row>
    <row r="111" spans="1:6">
      <c r="A111" s="89" t="s">
        <v>584</v>
      </c>
      <c r="B111" s="94" t="s">
        <v>153</v>
      </c>
      <c r="C111" s="94" t="s">
        <v>155</v>
      </c>
      <c r="D111" s="310" t="s">
        <v>640</v>
      </c>
      <c r="E111" s="92" t="str">
        <f t="shared" si="5"/>
        <v>Repairs - Building||/||TOTAL REVENUE</v>
      </c>
      <c r="F111" s="93"/>
    </row>
    <row r="112" spans="1:6">
      <c r="A112" s="89" t="s">
        <v>584</v>
      </c>
      <c r="B112" s="94" t="s">
        <v>153</v>
      </c>
      <c r="C112" s="94" t="s">
        <v>355</v>
      </c>
      <c r="D112" s="310" t="s">
        <v>641</v>
      </c>
      <c r="E112" s="92" t="str">
        <f t="shared" si="5"/>
        <v>Repairs - Equipment||/||TOTAL REVENUE</v>
      </c>
      <c r="F112" s="93"/>
    </row>
    <row r="113" spans="1:6">
      <c r="A113" s="89" t="s">
        <v>584</v>
      </c>
      <c r="B113" s="94" t="s">
        <v>153</v>
      </c>
      <c r="C113" s="95" t="s">
        <v>154</v>
      </c>
      <c r="D113" s="310" t="s">
        <v>642</v>
      </c>
      <c r="E113" s="92" t="str">
        <f t="shared" si="5"/>
        <v>Repairs - General||/||TOTAL REVENUE</v>
      </c>
      <c r="F113" s="93"/>
    </row>
    <row r="114" spans="1:6">
      <c r="A114" s="89" t="s">
        <v>584</v>
      </c>
      <c r="B114" s="94" t="s">
        <v>153</v>
      </c>
      <c r="C114" s="95" t="s">
        <v>356</v>
      </c>
      <c r="D114" s="310" t="s">
        <v>643</v>
      </c>
      <c r="E114" s="92" t="str">
        <f t="shared" si="5"/>
        <v>Pool Maintenance||/||TOTAL REVENUE</v>
      </c>
      <c r="F114" s="93"/>
    </row>
    <row r="115" spans="1:6">
      <c r="A115" s="89" t="s">
        <v>584</v>
      </c>
      <c r="B115" s="94" t="s">
        <v>153</v>
      </c>
      <c r="C115" s="95" t="s">
        <v>357</v>
      </c>
      <c r="D115" s="310" t="s">
        <v>292</v>
      </c>
      <c r="E115" s="92" t="str">
        <f t="shared" si="5"/>
        <v>Repairs - Engineering||/||TOTAL REVENUE</v>
      </c>
      <c r="F115" s="93"/>
    </row>
    <row r="116" spans="1:6">
      <c r="A116" s="89" t="s">
        <v>584</v>
      </c>
      <c r="B116" s="90" t="s">
        <v>153</v>
      </c>
      <c r="C116" s="90" t="s">
        <v>156</v>
      </c>
      <c r="D116" s="90" t="str">
        <f>D111&amp;"||+||"&amp;D112&amp;"||+||"&amp;D113&amp;"||+||"&amp;D114&amp;"||+||"&amp;D115</f>
        <v>650-020 · Repairs - Building||+||650-021 · Repairs - Equipment||+||650-022 · Repairs - General||+||650-023 · Pool Maintenance||+||655-050 · Repairs - Engineering</v>
      </c>
      <c r="E116" s="92" t="str">
        <f t="shared" si="5"/>
        <v>TOTAL REPAIRS &amp; MAINTENANCE||/||TOTAL REVENUE</v>
      </c>
      <c r="F116" s="93"/>
    </row>
    <row r="117" spans="1:6">
      <c r="A117" s="68" t="s">
        <v>584</v>
      </c>
      <c r="B117" s="74" t="s">
        <v>106</v>
      </c>
      <c r="C117" s="74" t="s">
        <v>106</v>
      </c>
      <c r="D117" s="82"/>
      <c r="E117" s="71"/>
      <c r="F117" s="72"/>
    </row>
    <row r="118" spans="1:6">
      <c r="A118" s="68" t="s">
        <v>584</v>
      </c>
      <c r="B118" s="69" t="s">
        <v>358</v>
      </c>
      <c r="C118" s="96" t="s">
        <v>160</v>
      </c>
      <c r="D118" s="70" t="s">
        <v>644</v>
      </c>
      <c r="E118" s="71" t="str">
        <f t="shared" si="5"/>
        <v>Legal Fees||/||TOTAL REVENUE</v>
      </c>
      <c r="F118" s="72"/>
    </row>
    <row r="119" spans="1:6">
      <c r="A119" s="68" t="s">
        <v>584</v>
      </c>
      <c r="B119" s="69" t="s">
        <v>358</v>
      </c>
      <c r="C119" s="96" t="s">
        <v>359</v>
      </c>
      <c r="D119" s="70" t="s">
        <v>645</v>
      </c>
      <c r="E119" s="71" t="str">
        <f t="shared" si="5"/>
        <v>Audit Fees||/||TOTAL REVENUE</v>
      </c>
      <c r="F119" s="72"/>
    </row>
    <row r="120" spans="1:6">
      <c r="A120" s="68" t="s">
        <v>584</v>
      </c>
      <c r="B120" s="69" t="s">
        <v>358</v>
      </c>
      <c r="C120" s="96" t="s">
        <v>165</v>
      </c>
      <c r="D120" s="70" t="s">
        <v>646</v>
      </c>
      <c r="E120" s="71" t="str">
        <f t="shared" si="5"/>
        <v>Tax Fees||/||TOTAL REVENUE</v>
      </c>
      <c r="F120" s="72"/>
    </row>
    <row r="121" spans="1:6">
      <c r="A121" s="68" t="s">
        <v>584</v>
      </c>
      <c r="B121" s="69" t="s">
        <v>358</v>
      </c>
      <c r="C121" s="96" t="s">
        <v>161</v>
      </c>
      <c r="D121" s="70" t="s">
        <v>647</v>
      </c>
      <c r="E121" s="71" t="str">
        <f t="shared" si="5"/>
        <v>Professional Fees||/||TOTAL REVENUE</v>
      </c>
      <c r="F121" s="72"/>
    </row>
    <row r="122" spans="1:6">
      <c r="A122" s="68" t="s">
        <v>584</v>
      </c>
      <c r="B122" s="69" t="s">
        <v>358</v>
      </c>
      <c r="C122" s="96" t="s">
        <v>239</v>
      </c>
      <c r="D122" s="70" t="s">
        <v>648</v>
      </c>
      <c r="E122" s="71" t="str">
        <f t="shared" si="5"/>
        <v>Accountancy Charges||/||TOTAL REVENUE</v>
      </c>
      <c r="F122" s="72"/>
    </row>
    <row r="123" spans="1:6">
      <c r="A123" s="68" t="s">
        <v>584</v>
      </c>
      <c r="B123" s="69" t="s">
        <v>358</v>
      </c>
      <c r="C123" s="96" t="s">
        <v>162</v>
      </c>
      <c r="D123" s="70" t="s">
        <v>649</v>
      </c>
      <c r="E123" s="71" t="str">
        <f t="shared" si="5"/>
        <v>Payroll Processing Charges||/||TOTAL REVENUE</v>
      </c>
      <c r="F123" s="72"/>
    </row>
    <row r="124" spans="1:6">
      <c r="A124" s="68" t="s">
        <v>584</v>
      </c>
      <c r="B124" s="69" t="s">
        <v>358</v>
      </c>
      <c r="C124" s="96" t="s">
        <v>238</v>
      </c>
      <c r="D124" s="70" t="s">
        <v>650</v>
      </c>
      <c r="E124" s="71" t="str">
        <f t="shared" si="5"/>
        <v>Credit Card Charges||/||TOTAL REVENUE</v>
      </c>
      <c r="F124" s="72"/>
    </row>
    <row r="125" spans="1:6">
      <c r="A125" s="68" t="s">
        <v>584</v>
      </c>
      <c r="B125" s="69" t="s">
        <v>358</v>
      </c>
      <c r="C125" s="96" t="s">
        <v>163</v>
      </c>
      <c r="D125" s="70" t="s">
        <v>651</v>
      </c>
      <c r="E125" s="71" t="str">
        <f t="shared" si="5"/>
        <v>Bank Charges||/||TOTAL REVENUE</v>
      </c>
      <c r="F125" s="72"/>
    </row>
    <row r="126" spans="1:6">
      <c r="A126" s="68" t="s">
        <v>584</v>
      </c>
      <c r="B126" s="69" t="s">
        <v>358</v>
      </c>
      <c r="C126" s="96" t="s">
        <v>446</v>
      </c>
      <c r="D126" s="70" t="s">
        <v>445</v>
      </c>
      <c r="E126" s="71" t="str">
        <f t="shared" si="5"/>
        <v>401K Fees||/||TOTAL REVENUE</v>
      </c>
      <c r="F126" s="72"/>
    </row>
    <row r="127" spans="1:6">
      <c r="A127" s="68" t="s">
        <v>584</v>
      </c>
      <c r="B127" s="69" t="s">
        <v>358</v>
      </c>
      <c r="C127" s="96" t="s">
        <v>360</v>
      </c>
      <c r="D127" s="70" t="s">
        <v>652</v>
      </c>
      <c r="E127" s="71" t="str">
        <f t="shared" si="5"/>
        <v>Donations||/||TOTAL REVENUE</v>
      </c>
      <c r="F127" s="72"/>
    </row>
    <row r="128" spans="1:6">
      <c r="A128" s="68" t="s">
        <v>584</v>
      </c>
      <c r="B128" s="69" t="s">
        <v>358</v>
      </c>
      <c r="C128" s="96" t="s">
        <v>361</v>
      </c>
      <c r="D128" s="70" t="s">
        <v>653</v>
      </c>
      <c r="E128" s="71" t="str">
        <f t="shared" si="5"/>
        <v>Royalties||/||TOTAL REVENUE</v>
      </c>
      <c r="F128" s="72"/>
    </row>
    <row r="129" spans="1:6">
      <c r="A129" s="68" t="s">
        <v>584</v>
      </c>
      <c r="B129" s="69" t="s">
        <v>358</v>
      </c>
      <c r="C129" s="96" t="s">
        <v>362</v>
      </c>
      <c r="D129" s="70" t="s">
        <v>654</v>
      </c>
      <c r="E129" s="71" t="str">
        <f t="shared" si="5"/>
        <v>Corporation Tax||/||TOTAL REVENUE</v>
      </c>
      <c r="F129" s="72"/>
    </row>
    <row r="130" spans="1:6">
      <c r="A130" s="68" t="s">
        <v>584</v>
      </c>
      <c r="B130" s="69" t="s">
        <v>358</v>
      </c>
      <c r="C130" s="96" t="s">
        <v>363</v>
      </c>
      <c r="D130" s="70" t="s">
        <v>655</v>
      </c>
      <c r="E130" s="71" t="str">
        <f t="shared" si="5"/>
        <v>Property Taxes||/||TOTAL REVENUE</v>
      </c>
      <c r="F130" s="72"/>
    </row>
    <row r="131" spans="1:6">
      <c r="A131" s="68" t="s">
        <v>584</v>
      </c>
      <c r="B131" s="69" t="s">
        <v>358</v>
      </c>
      <c r="C131" s="96" t="s">
        <v>164</v>
      </c>
      <c r="D131" s="70" t="s">
        <v>656</v>
      </c>
      <c r="E131" s="71" t="str">
        <f t="shared" si="5"/>
        <v>Penalties||/||TOTAL REVENUE</v>
      </c>
      <c r="F131" s="72"/>
    </row>
    <row r="132" spans="1:6">
      <c r="A132" s="68" t="s">
        <v>584</v>
      </c>
      <c r="B132" s="69" t="s">
        <v>358</v>
      </c>
      <c r="C132" s="96" t="s">
        <v>166</v>
      </c>
      <c r="D132" s="70" t="s">
        <v>658</v>
      </c>
      <c r="E132" s="71" t="str">
        <f t="shared" si="5"/>
        <v>Licenses and Permits||/||TOTAL REVENUE</v>
      </c>
      <c r="F132" s="72"/>
    </row>
    <row r="133" spans="1:6" ht="72">
      <c r="A133" s="68" t="s">
        <v>584</v>
      </c>
      <c r="B133" s="69" t="s">
        <v>358</v>
      </c>
      <c r="C133" s="74" t="s">
        <v>364</v>
      </c>
      <c r="D133" s="82" t="str">
        <f>D118&amp;"||+||"&amp;D119&amp;"||+||"&amp;D121&amp;"||+||"&amp;D122&amp;"||+||"&amp;D123&amp;"||+||"&amp;D124&amp;"||+||"&amp;D125&amp;"||+||"&amp;D126&amp;"||+||"&amp;D127&amp;"||+||"&amp;D131&amp;"||+||"&amp;D132&amp;"||+||"&amp;D128&amp;"||+||"&amp;D129&amp;"||+||"&amp;D130&amp;"||+||"&amp;D120</f>
        <v>660-001 · Legal Fees||+||660-002 · Audit Fees||+||660-004 · Professional Fees||+||660-005 · Accountancy Charges||+||665-001 · Payroll Processing Charges||+||665-002 · Credit Card Charges||+||665-003 · Bank Charges||+||660-090 · 401K Fees||+||665-004 · Donations||+||665-007 · Penalties||+||665-008 · Licenses, Permits &amp; Filing Fees||+||665-005 · Royalties||+||665-009 · Corporation Tax||+||665-006 · Property Taxes||+||660-003 · Tax Fees</v>
      </c>
      <c r="E133" s="71" t="str">
        <f t="shared" ref="E133:E154" si="6">C133&amp;"||/||"&amp;$C$16</f>
        <v>TOTAL FINANCIAL COST||/||TOTAL REVENUE</v>
      </c>
      <c r="F133" s="72"/>
    </row>
    <row r="134" spans="1:6">
      <c r="A134" s="97" t="s">
        <v>584</v>
      </c>
      <c r="B134" s="98" t="s">
        <v>106</v>
      </c>
      <c r="C134" s="98" t="s">
        <v>106</v>
      </c>
      <c r="D134" s="99"/>
      <c r="E134" s="100"/>
      <c r="F134" s="101"/>
    </row>
    <row r="135" spans="1:6">
      <c r="A135" s="97" t="s">
        <v>584</v>
      </c>
      <c r="B135" s="143" t="s">
        <v>170</v>
      </c>
      <c r="C135" s="102" t="s">
        <v>172</v>
      </c>
      <c r="D135" s="103" t="s">
        <v>660</v>
      </c>
      <c r="E135" s="100" t="str">
        <f t="shared" si="6"/>
        <v>Rent||/||TOTAL REVENUE</v>
      </c>
      <c r="F135" s="101"/>
    </row>
    <row r="136" spans="1:6">
      <c r="A136" s="97" t="s">
        <v>584</v>
      </c>
      <c r="B136" s="143" t="s">
        <v>170</v>
      </c>
      <c r="C136" s="102" t="s">
        <v>365</v>
      </c>
      <c r="D136" s="103" t="s">
        <v>661</v>
      </c>
      <c r="E136" s="100" t="str">
        <f t="shared" si="6"/>
        <v>Real Estate Taxes||/||TOTAL REVENUE</v>
      </c>
      <c r="F136" s="101"/>
    </row>
    <row r="137" spans="1:6">
      <c r="A137" s="97" t="s">
        <v>584</v>
      </c>
      <c r="B137" s="143" t="s">
        <v>170</v>
      </c>
      <c r="C137" s="102" t="s">
        <v>173</v>
      </c>
      <c r="D137" s="103" t="s">
        <v>662</v>
      </c>
      <c r="E137" s="100" t="str">
        <f t="shared" si="6"/>
        <v>Electricity||/||TOTAL REVENUE</v>
      </c>
      <c r="F137" s="101"/>
    </row>
    <row r="138" spans="1:6">
      <c r="A138" s="97" t="s">
        <v>584</v>
      </c>
      <c r="B138" s="143" t="s">
        <v>170</v>
      </c>
      <c r="C138" s="102" t="s">
        <v>174</v>
      </c>
      <c r="D138" s="103" t="s">
        <v>663</v>
      </c>
      <c r="E138" s="100" t="str">
        <f t="shared" si="6"/>
        <v>Gas||/||TOTAL REVENUE</v>
      </c>
      <c r="F138" s="101"/>
    </row>
    <row r="139" spans="1:6">
      <c r="A139" s="97" t="s">
        <v>584</v>
      </c>
      <c r="B139" s="143" t="s">
        <v>170</v>
      </c>
      <c r="C139" s="102" t="s">
        <v>175</v>
      </c>
      <c r="D139" s="103" t="s">
        <v>664</v>
      </c>
      <c r="E139" s="100" t="str">
        <f t="shared" si="6"/>
        <v>Water||/||TOTAL REVENUE</v>
      </c>
      <c r="F139" s="101"/>
    </row>
    <row r="140" spans="1:6">
      <c r="A140" s="97" t="s">
        <v>584</v>
      </c>
      <c r="B140" s="143" t="s">
        <v>170</v>
      </c>
      <c r="C140" s="102" t="s">
        <v>176</v>
      </c>
      <c r="D140" s="103" t="s">
        <v>665</v>
      </c>
      <c r="E140" s="100" t="str">
        <f t="shared" si="6"/>
        <v>Storage Rent||/||TOTAL REVENUE</v>
      </c>
      <c r="F140" s="101"/>
    </row>
    <row r="141" spans="1:6">
      <c r="A141" s="97" t="s">
        <v>584</v>
      </c>
      <c r="B141" s="143" t="s">
        <v>170</v>
      </c>
      <c r="C141" s="102" t="s">
        <v>168</v>
      </c>
      <c r="D141" s="103" t="s">
        <v>666</v>
      </c>
      <c r="E141" s="100" t="str">
        <f t="shared" si="6"/>
        <v>Insurance||/||TOTAL REVENUE</v>
      </c>
      <c r="F141" s="101"/>
    </row>
    <row r="142" spans="1:6">
      <c r="A142" s="97" t="s">
        <v>584</v>
      </c>
      <c r="B142" s="143" t="s">
        <v>170</v>
      </c>
      <c r="C142" s="102" t="s">
        <v>366</v>
      </c>
      <c r="D142" s="103" t="s">
        <v>667</v>
      </c>
      <c r="E142" s="100" t="str">
        <f t="shared" si="6"/>
        <v>Security Services||/||TOTAL REVENUE</v>
      </c>
      <c r="F142" s="101"/>
    </row>
    <row r="143" spans="1:6" ht="43.2">
      <c r="A143" s="97" t="s">
        <v>584</v>
      </c>
      <c r="B143" s="98" t="s">
        <v>170</v>
      </c>
      <c r="C143" s="98" t="s">
        <v>4</v>
      </c>
      <c r="D143" s="99" t="str">
        <f>D135&amp;"||+||"&amp;D136&amp;"||+||"&amp;D137&amp;"||+||"&amp;D138&amp;"||+||"&amp;D139&amp;"||+||"&amp;D140&amp;"||+||"&amp;D141&amp;"||+||"&amp;D142</f>
        <v>670-001 · Rent||+||670-003 · Real Estate Escalation Tax||+||670-005 · Electricity||+||670-006 · Gas||+||670-007 · Water||+||670-008 · Storage Rent||+||665-200 · Insurance||+||670-010 · Security Services</v>
      </c>
      <c r="E143" s="100" t="str">
        <f t="shared" si="6"/>
        <v>TOTAL OCCUPANCY||/||TOTAL REVENUE</v>
      </c>
      <c r="F143" s="101"/>
    </row>
    <row r="144" spans="1:6">
      <c r="A144" s="61" t="s">
        <v>584</v>
      </c>
      <c r="B144" s="104" t="s">
        <v>177</v>
      </c>
      <c r="C144" s="104" t="s">
        <v>178</v>
      </c>
      <c r="D144" s="104" t="str">
        <f>C53&amp;"||+||"&amp;C63&amp;"||+||"&amp;C77&amp;"||+||"&amp;C85&amp;"||+||"&amp;C90&amp;"||+||"&amp;C109&amp;"||+||"&amp;C116&amp;"||+||"&amp;C133&amp;"||+||"&amp;C143</f>
        <v>TOTAL STAFF COST||+||TOTAL OTHER STAFF COST||+||TOTAL ADVERTISING/PROMOTION||+||TOTAL TRAVEL &amp; ENTERAINMENT||+||TOTAL COMMUNICATION||+||TOTAL SUPPLIES||+||TOTAL REPAIRS &amp; MAINTENANCE||+||TOTAL FINANCIAL COST||+||TOTAL OCCUPANCY</v>
      </c>
      <c r="E144" s="64" t="str">
        <f t="shared" si="6"/>
        <v>TOTAL OPERATING EXPENSES||/||TOTAL REVENUE</v>
      </c>
      <c r="F144" s="65"/>
    </row>
    <row r="145" spans="1:6">
      <c r="A145" s="61" t="s">
        <v>584</v>
      </c>
      <c r="B145" s="104" t="s">
        <v>179</v>
      </c>
      <c r="C145" s="104" t="s">
        <v>179</v>
      </c>
      <c r="D145" s="66" t="str">
        <f>C39&amp;"||-||"&amp;C144</f>
        <v>TOTAL GROSS PROFIT||-||TOTAL OPERATING EXPENSES</v>
      </c>
      <c r="E145" s="64" t="str">
        <f t="shared" si="6"/>
        <v>EBITDA||/||TOTAL REVENUE</v>
      </c>
      <c r="F145" s="65"/>
    </row>
    <row r="146" spans="1:6">
      <c r="A146" s="105" t="s">
        <v>584</v>
      </c>
      <c r="B146" s="106" t="s">
        <v>180</v>
      </c>
      <c r="C146" s="107" t="s">
        <v>181</v>
      </c>
      <c r="D146" s="108" t="s">
        <v>92</v>
      </c>
      <c r="E146" s="109" t="str">
        <f>C146&amp;"||/||"&amp;$C$16</f>
        <v>Other Income||/||TOTAL REVENUE</v>
      </c>
      <c r="F146" s="110"/>
    </row>
    <row r="147" spans="1:6">
      <c r="A147" s="105" t="s">
        <v>584</v>
      </c>
      <c r="B147" s="106" t="s">
        <v>180</v>
      </c>
      <c r="C147" s="107" t="s">
        <v>367</v>
      </c>
      <c r="D147" s="108" t="s">
        <v>659</v>
      </c>
      <c r="E147" s="109" t="str">
        <f t="shared" si="6"/>
        <v>Management Fees||/||TOTAL REVENUE</v>
      </c>
      <c r="F147" s="110"/>
    </row>
    <row r="148" spans="1:6">
      <c r="A148" s="105" t="s">
        <v>584</v>
      </c>
      <c r="B148" s="106" t="s">
        <v>180</v>
      </c>
      <c r="C148" s="107" t="s">
        <v>368</v>
      </c>
      <c r="D148" s="108" t="s">
        <v>301</v>
      </c>
      <c r="E148" s="109" t="str">
        <f t="shared" si="6"/>
        <v>Owner's Guarnteed Return||/||TOTAL REVENUE</v>
      </c>
      <c r="F148" s="110"/>
    </row>
    <row r="149" spans="1:6">
      <c r="A149" s="105" t="s">
        <v>584</v>
      </c>
      <c r="B149" s="106" t="s">
        <v>180</v>
      </c>
      <c r="C149" s="107" t="s">
        <v>453</v>
      </c>
      <c r="D149" s="144" t="s">
        <v>657</v>
      </c>
      <c r="E149" s="109" t="str">
        <f t="shared" si="6"/>
        <v>Interest on Loan||/||TOTAL REVENUE</v>
      </c>
      <c r="F149" s="110"/>
    </row>
    <row r="150" spans="1:6">
      <c r="A150" s="105" t="s">
        <v>584</v>
      </c>
      <c r="B150" s="106" t="s">
        <v>180</v>
      </c>
      <c r="C150" s="107" t="s">
        <v>182</v>
      </c>
      <c r="D150" s="108" t="s">
        <v>671</v>
      </c>
      <c r="E150" s="109" t="str">
        <f t="shared" si="6"/>
        <v>Other Expenses||/||TOTAL REVENUE</v>
      </c>
      <c r="F150" s="110"/>
    </row>
    <row r="151" spans="1:6">
      <c r="A151" s="111" t="s">
        <v>584</v>
      </c>
      <c r="B151" s="112" t="s">
        <v>180</v>
      </c>
      <c r="C151" s="112" t="s">
        <v>180</v>
      </c>
      <c r="D151" s="113" t="s">
        <v>454</v>
      </c>
      <c r="E151" s="114" t="str">
        <f t="shared" si="6"/>
        <v>PROFIT BEFORE TAX &amp; DEPRECIATION||/||TOTAL REVENUE</v>
      </c>
      <c r="F151" s="115"/>
    </row>
    <row r="152" spans="1:6">
      <c r="A152" s="116" t="s">
        <v>584</v>
      </c>
      <c r="B152" s="117" t="s">
        <v>2</v>
      </c>
      <c r="C152" s="117" t="s">
        <v>184</v>
      </c>
      <c r="D152" s="118" t="s">
        <v>94</v>
      </c>
      <c r="E152" s="119" t="str">
        <f t="shared" si="6"/>
        <v>P &amp; L Depreciation||/||TOTAL REVENUE</v>
      </c>
      <c r="F152" s="120"/>
    </row>
    <row r="153" spans="1:6">
      <c r="A153" s="116" t="s">
        <v>584</v>
      </c>
      <c r="B153" s="117" t="s">
        <v>2</v>
      </c>
      <c r="C153" s="117" t="s">
        <v>185</v>
      </c>
      <c r="D153" s="118" t="s">
        <v>95</v>
      </c>
      <c r="E153" s="119" t="str">
        <f t="shared" si="6"/>
        <v>P &amp; L Amortization||/||TOTAL REVENUE</v>
      </c>
      <c r="F153" s="120"/>
    </row>
    <row r="154" spans="1:6">
      <c r="A154" s="98" t="s">
        <v>584</v>
      </c>
      <c r="B154" s="98" t="s">
        <v>186</v>
      </c>
      <c r="C154" s="98" t="s">
        <v>186</v>
      </c>
      <c r="D154" s="98" t="s">
        <v>187</v>
      </c>
      <c r="E154" s="100" t="str">
        <f t="shared" si="6"/>
        <v>NET PROFIT/(LOSS)||/||TOTAL REVENUE</v>
      </c>
      <c r="F154" s="101"/>
    </row>
    <row r="157" spans="1:6">
      <c r="D157" s="304"/>
    </row>
  </sheetData>
  <pageMargins left="0.7" right="0.7" top="0.75" bottom="0.75"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14"/>
  <sheetViews>
    <sheetView topLeftCell="A5" zoomScale="80" zoomScaleNormal="80" workbookViewId="0">
      <selection activeCell="D14" sqref="D14"/>
    </sheetView>
  </sheetViews>
  <sheetFormatPr defaultColWidth="9.109375" defaultRowHeight="14.4"/>
  <cols>
    <col min="1" max="1" width="21" style="123" bestFit="1" customWidth="1"/>
    <col min="2" max="2" width="29.6640625" style="123" bestFit="1" customWidth="1"/>
    <col min="3" max="3" width="33.33203125" style="123" bestFit="1" customWidth="1"/>
    <col min="4" max="4" width="45.6640625" style="304" customWidth="1"/>
    <col min="5" max="5" width="19" style="304" bestFit="1" customWidth="1"/>
    <col min="6" max="16384" width="9.109375" style="304"/>
  </cols>
  <sheetData>
    <row r="1" spans="1:5">
      <c r="A1" s="302" t="s">
        <v>40</v>
      </c>
      <c r="B1" s="302" t="s">
        <v>99</v>
      </c>
      <c r="C1" s="302" t="s">
        <v>100</v>
      </c>
      <c r="D1" s="121" t="s">
        <v>101</v>
      </c>
      <c r="E1" s="122"/>
    </row>
    <row r="2" spans="1:5">
      <c r="A2" s="123" t="s">
        <v>584</v>
      </c>
      <c r="B2" s="123" t="s">
        <v>188</v>
      </c>
      <c r="C2" s="124" t="s">
        <v>188</v>
      </c>
    </row>
    <row r="3" spans="1:5">
      <c r="A3" s="123" t="s">
        <v>584</v>
      </c>
      <c r="B3" s="123" t="s">
        <v>189</v>
      </c>
      <c r="C3" s="125" t="s">
        <v>189</v>
      </c>
    </row>
    <row r="4" spans="1:5">
      <c r="A4" s="123" t="s">
        <v>584</v>
      </c>
      <c r="B4" s="123" t="s">
        <v>188</v>
      </c>
      <c r="C4" s="124" t="s">
        <v>190</v>
      </c>
    </row>
    <row r="5" spans="1:5">
      <c r="A5" s="123" t="s">
        <v>584</v>
      </c>
      <c r="B5" s="123" t="s">
        <v>188</v>
      </c>
      <c r="C5" s="126" t="s">
        <v>672</v>
      </c>
      <c r="D5" s="304" t="s">
        <v>673</v>
      </c>
    </row>
    <row r="6" spans="1:5">
      <c r="A6" s="123" t="s">
        <v>584</v>
      </c>
      <c r="B6" s="123" t="s">
        <v>188</v>
      </c>
      <c r="C6" s="126" t="s">
        <v>674</v>
      </c>
      <c r="D6" s="304" t="s">
        <v>675</v>
      </c>
    </row>
    <row r="7" spans="1:5">
      <c r="A7" s="123" t="s">
        <v>584</v>
      </c>
      <c r="B7" s="123" t="s">
        <v>188</v>
      </c>
      <c r="C7" s="124" t="s">
        <v>191</v>
      </c>
      <c r="D7" s="304" t="str">
        <f>D5&amp;"||+||"&amp;D6</f>
        <v>100-010 · HSBC Bank - 4790||+||100-020 · Bank-2</v>
      </c>
    </row>
    <row r="8" spans="1:5">
      <c r="A8" s="123" t="s">
        <v>584</v>
      </c>
      <c r="B8" s="123" t="s">
        <v>188</v>
      </c>
      <c r="C8" s="124" t="s">
        <v>192</v>
      </c>
    </row>
    <row r="9" spans="1:5">
      <c r="A9" s="123" t="s">
        <v>584</v>
      </c>
      <c r="B9" s="123" t="s">
        <v>188</v>
      </c>
      <c r="C9" s="126" t="s">
        <v>193</v>
      </c>
      <c r="D9" s="304" t="s">
        <v>794</v>
      </c>
    </row>
    <row r="10" spans="1:5">
      <c r="A10" s="123" t="s">
        <v>584</v>
      </c>
      <c r="B10" s="123" t="s">
        <v>188</v>
      </c>
      <c r="C10" s="302" t="s">
        <v>194</v>
      </c>
    </row>
    <row r="11" spans="1:5">
      <c r="A11" s="123" t="s">
        <v>584</v>
      </c>
      <c r="B11" s="123" t="s">
        <v>188</v>
      </c>
      <c r="C11" s="126" t="s">
        <v>459</v>
      </c>
      <c r="D11" s="304" t="s">
        <v>676</v>
      </c>
    </row>
    <row r="12" spans="1:5">
      <c r="A12" s="123" t="s">
        <v>584</v>
      </c>
      <c r="B12" s="123" t="s">
        <v>188</v>
      </c>
      <c r="C12" s="126" t="s">
        <v>460</v>
      </c>
      <c r="D12" s="304" t="s">
        <v>677</v>
      </c>
    </row>
    <row r="13" spans="1:5">
      <c r="A13" s="123" t="s">
        <v>584</v>
      </c>
      <c r="B13" s="123" t="s">
        <v>188</v>
      </c>
      <c r="C13" s="126" t="s">
        <v>461</v>
      </c>
      <c r="D13" s="304" t="s">
        <v>678</v>
      </c>
    </row>
    <row r="14" spans="1:5">
      <c r="A14" s="123" t="s">
        <v>584</v>
      </c>
      <c r="B14" s="123" t="s">
        <v>188</v>
      </c>
      <c r="C14" s="126" t="s">
        <v>462</v>
      </c>
      <c r="D14" s="304" t="s">
        <v>679</v>
      </c>
    </row>
    <row r="15" spans="1:5">
      <c r="A15" s="123" t="s">
        <v>584</v>
      </c>
      <c r="B15" s="123" t="s">
        <v>188</v>
      </c>
      <c r="C15" s="126" t="s">
        <v>463</v>
      </c>
      <c r="D15" s="304" t="s">
        <v>680</v>
      </c>
    </row>
    <row r="16" spans="1:5">
      <c r="A16" s="123" t="s">
        <v>584</v>
      </c>
      <c r="B16" s="123" t="s">
        <v>188</v>
      </c>
      <c r="C16" s="126" t="s">
        <v>464</v>
      </c>
      <c r="D16" s="304" t="s">
        <v>681</v>
      </c>
    </row>
    <row r="17" spans="1:4">
      <c r="A17" s="123" t="s">
        <v>584</v>
      </c>
      <c r="B17" s="123" t="s">
        <v>188</v>
      </c>
      <c r="C17" s="302" t="s">
        <v>458</v>
      </c>
      <c r="D17" s="304" t="s">
        <v>195</v>
      </c>
    </row>
    <row r="18" spans="1:4">
      <c r="A18" s="123" t="s">
        <v>584</v>
      </c>
      <c r="B18" s="123" t="s">
        <v>188</v>
      </c>
      <c r="C18" s="145" t="s">
        <v>196</v>
      </c>
      <c r="D18" s="304" t="s">
        <v>197</v>
      </c>
    </row>
    <row r="19" spans="1:4">
      <c r="A19" s="123" t="s">
        <v>584</v>
      </c>
      <c r="B19" s="123" t="s">
        <v>188</v>
      </c>
      <c r="C19" s="145" t="s">
        <v>198</v>
      </c>
      <c r="D19" s="304" t="s">
        <v>369</v>
      </c>
    </row>
    <row r="20" spans="1:4">
      <c r="A20" s="123" t="s">
        <v>584</v>
      </c>
      <c r="B20" s="123" t="s">
        <v>188</v>
      </c>
      <c r="C20" s="126" t="s">
        <v>370</v>
      </c>
      <c r="D20" s="304" t="s">
        <v>370</v>
      </c>
    </row>
    <row r="21" spans="1:4">
      <c r="A21" s="123" t="s">
        <v>584</v>
      </c>
      <c r="B21" s="123" t="s">
        <v>188</v>
      </c>
      <c r="C21" s="126" t="s">
        <v>371</v>
      </c>
      <c r="D21" s="304" t="s">
        <v>371</v>
      </c>
    </row>
    <row r="22" spans="1:4">
      <c r="A22" s="123" t="s">
        <v>584</v>
      </c>
      <c r="B22" s="123" t="s">
        <v>188</v>
      </c>
      <c r="C22" s="126" t="s">
        <v>372</v>
      </c>
      <c r="D22" s="304" t="s">
        <v>372</v>
      </c>
    </row>
    <row r="23" spans="1:4">
      <c r="A23" s="123" t="s">
        <v>584</v>
      </c>
      <c r="B23" s="123" t="s">
        <v>188</v>
      </c>
      <c r="C23" s="302" t="s">
        <v>199</v>
      </c>
      <c r="D23" s="304" t="s">
        <v>200</v>
      </c>
    </row>
    <row r="24" spans="1:4">
      <c r="A24" s="123" t="s">
        <v>584</v>
      </c>
      <c r="B24" s="123" t="s">
        <v>188</v>
      </c>
      <c r="C24" s="126" t="s">
        <v>201</v>
      </c>
      <c r="D24" s="304" t="s">
        <v>682</v>
      </c>
    </row>
    <row r="25" spans="1:4" ht="72">
      <c r="A25" s="123" t="s">
        <v>584</v>
      </c>
      <c r="B25" s="123" t="s">
        <v>188</v>
      </c>
      <c r="C25" s="124" t="s">
        <v>202</v>
      </c>
      <c r="D25" s="42" t="str">
        <f>D9&amp;"||+||"&amp;D17&amp;"||+||"&amp;D18&amp;"||+||"&amp;D19&amp;"||+||"&amp;D23&amp;"||+||"&amp;D24</f>
        <v>112-000 · Accounts Receivable||+||Total 120-000 · Inventory||+||Total 130-000 · Prepaid Expenses||+||135-010 · Staff Loans/Salary Advances||+||Total 135-020 · Deposits||+||135-030 · Petty Cash Control</v>
      </c>
    </row>
    <row r="26" spans="1:4" ht="86.4">
      <c r="A26" s="123" t="s">
        <v>584</v>
      </c>
      <c r="B26" s="123" t="s">
        <v>189</v>
      </c>
      <c r="C26" s="125" t="s">
        <v>203</v>
      </c>
      <c r="D26" s="42" t="str">
        <f>D25&amp;"||+||"&amp;D7</f>
        <v>112-000 · Accounts Receivable||+||Total 120-000 · Inventory||+||Total 130-000 · Prepaid Expenses||+||135-010 · Staff Loans/Salary Advances||+||Total 135-020 · Deposits||+||135-030 · Petty Cash Control||+||100-010 · HSBC Bank - 4790||+||100-020 · Bank-2</v>
      </c>
    </row>
    <row r="27" spans="1:4">
      <c r="A27" s="123" t="s">
        <v>584</v>
      </c>
      <c r="B27" s="123" t="s">
        <v>204</v>
      </c>
      <c r="C27" s="125" t="s">
        <v>204</v>
      </c>
    </row>
    <row r="28" spans="1:4">
      <c r="A28" s="123" t="s">
        <v>584</v>
      </c>
      <c r="B28" s="123" t="s">
        <v>204</v>
      </c>
      <c r="C28" s="146" t="s">
        <v>457</v>
      </c>
    </row>
    <row r="29" spans="1:4">
      <c r="A29" s="123" t="s">
        <v>584</v>
      </c>
      <c r="B29" s="123" t="s">
        <v>204</v>
      </c>
      <c r="C29" s="126" t="s">
        <v>683</v>
      </c>
      <c r="D29" s="131" t="s">
        <v>373</v>
      </c>
    </row>
    <row r="30" spans="1:4">
      <c r="A30" s="123" t="s">
        <v>584</v>
      </c>
      <c r="B30" s="123" t="s">
        <v>204</v>
      </c>
      <c r="C30" s="126" t="s">
        <v>684</v>
      </c>
      <c r="D30" s="131" t="s">
        <v>374</v>
      </c>
    </row>
    <row r="31" spans="1:4">
      <c r="A31" s="123" t="s">
        <v>584</v>
      </c>
      <c r="B31" s="123" t="s">
        <v>204</v>
      </c>
      <c r="C31" s="126" t="s">
        <v>685</v>
      </c>
      <c r="D31" s="131" t="s">
        <v>375</v>
      </c>
    </row>
    <row r="32" spans="1:4">
      <c r="A32" s="123" t="s">
        <v>584</v>
      </c>
      <c r="B32" s="123" t="s">
        <v>204</v>
      </c>
      <c r="C32" s="126" t="s">
        <v>686</v>
      </c>
      <c r="D32" s="131" t="s">
        <v>376</v>
      </c>
    </row>
    <row r="33" spans="1:4">
      <c r="A33" s="123" t="s">
        <v>584</v>
      </c>
      <c r="B33" s="123" t="s">
        <v>204</v>
      </c>
      <c r="C33" s="126" t="s">
        <v>687</v>
      </c>
      <c r="D33" s="131" t="s">
        <v>377</v>
      </c>
    </row>
    <row r="34" spans="1:4">
      <c r="A34" s="123" t="s">
        <v>584</v>
      </c>
      <c r="B34" s="123" t="s">
        <v>204</v>
      </c>
      <c r="C34" s="126" t="s">
        <v>688</v>
      </c>
      <c r="D34" s="131" t="s">
        <v>378</v>
      </c>
    </row>
    <row r="35" spans="1:4">
      <c r="A35" s="123" t="s">
        <v>584</v>
      </c>
      <c r="B35" s="123" t="s">
        <v>204</v>
      </c>
      <c r="C35" s="126" t="s">
        <v>689</v>
      </c>
      <c r="D35" s="131" t="s">
        <v>379</v>
      </c>
    </row>
    <row r="36" spans="1:4">
      <c r="A36" s="123" t="s">
        <v>584</v>
      </c>
      <c r="B36" s="123" t="s">
        <v>204</v>
      </c>
      <c r="C36" s="126" t="s">
        <v>690</v>
      </c>
      <c r="D36" s="131" t="s">
        <v>380</v>
      </c>
    </row>
    <row r="37" spans="1:4">
      <c r="A37" s="123" t="s">
        <v>584</v>
      </c>
      <c r="B37" s="123" t="s">
        <v>204</v>
      </c>
      <c r="C37" s="126" t="s">
        <v>691</v>
      </c>
      <c r="D37" s="131" t="s">
        <v>381</v>
      </c>
    </row>
    <row r="38" spans="1:4">
      <c r="A38" s="123" t="s">
        <v>584</v>
      </c>
      <c r="B38" s="123" t="s">
        <v>204</v>
      </c>
      <c r="C38" s="126" t="s">
        <v>692</v>
      </c>
      <c r="D38" s="131" t="s">
        <v>382</v>
      </c>
    </row>
    <row r="39" spans="1:4">
      <c r="A39" s="123" t="s">
        <v>584</v>
      </c>
      <c r="B39" s="123" t="s">
        <v>204</v>
      </c>
      <c r="C39" s="126" t="s">
        <v>693</v>
      </c>
      <c r="D39" s="131" t="s">
        <v>383</v>
      </c>
    </row>
    <row r="40" spans="1:4">
      <c r="A40" s="123" t="s">
        <v>584</v>
      </c>
      <c r="B40" s="123" t="s">
        <v>204</v>
      </c>
      <c r="C40" s="126" t="s">
        <v>404</v>
      </c>
      <c r="D40" s="131" t="s">
        <v>384</v>
      </c>
    </row>
    <row r="41" spans="1:4">
      <c r="A41" s="123" t="s">
        <v>584</v>
      </c>
      <c r="B41" s="123" t="s">
        <v>204</v>
      </c>
      <c r="C41" s="146" t="s">
        <v>457</v>
      </c>
      <c r="D41" s="131" t="s">
        <v>205</v>
      </c>
    </row>
    <row r="42" spans="1:4">
      <c r="A42" s="123" t="s">
        <v>584</v>
      </c>
      <c r="B42" s="123" t="s">
        <v>204</v>
      </c>
      <c r="C42" s="302" t="s">
        <v>206</v>
      </c>
    </row>
    <row r="43" spans="1:4">
      <c r="A43" s="123" t="s">
        <v>584</v>
      </c>
      <c r="B43" s="123" t="s">
        <v>204</v>
      </c>
      <c r="C43" s="126" t="s">
        <v>206</v>
      </c>
      <c r="D43" s="304" t="s">
        <v>694</v>
      </c>
    </row>
    <row r="44" spans="1:4">
      <c r="A44" s="123" t="s">
        <v>584</v>
      </c>
      <c r="B44" s="123" t="s">
        <v>204</v>
      </c>
      <c r="C44" s="126" t="s">
        <v>695</v>
      </c>
      <c r="D44" s="304" t="s">
        <v>696</v>
      </c>
    </row>
    <row r="45" spans="1:4">
      <c r="A45" s="123" t="s">
        <v>584</v>
      </c>
      <c r="B45" s="123" t="s">
        <v>204</v>
      </c>
      <c r="C45" s="126" t="s">
        <v>697</v>
      </c>
      <c r="D45" s="304" t="s">
        <v>698</v>
      </c>
    </row>
    <row r="46" spans="1:4">
      <c r="A46" s="123" t="s">
        <v>584</v>
      </c>
      <c r="B46" s="123" t="s">
        <v>204</v>
      </c>
      <c r="C46" s="126" t="s">
        <v>209</v>
      </c>
      <c r="D46" s="304" t="s">
        <v>385</v>
      </c>
    </row>
    <row r="47" spans="1:4">
      <c r="A47" s="123" t="s">
        <v>584</v>
      </c>
      <c r="B47" s="123" t="s">
        <v>204</v>
      </c>
      <c r="C47" s="302" t="s">
        <v>206</v>
      </c>
      <c r="D47" s="304" t="s">
        <v>699</v>
      </c>
    </row>
    <row r="48" spans="1:4">
      <c r="A48" s="123" t="s">
        <v>584</v>
      </c>
      <c r="B48" s="123" t="s">
        <v>204</v>
      </c>
      <c r="C48" s="302" t="s">
        <v>386</v>
      </c>
    </row>
    <row r="49" spans="1:4">
      <c r="A49" s="123" t="s">
        <v>584</v>
      </c>
      <c r="B49" s="123" t="s">
        <v>204</v>
      </c>
      <c r="C49" s="126" t="s">
        <v>577</v>
      </c>
      <c r="D49" s="304" t="s">
        <v>700</v>
      </c>
    </row>
    <row r="50" spans="1:4">
      <c r="A50" s="123" t="s">
        <v>584</v>
      </c>
      <c r="B50" s="123" t="s">
        <v>204</v>
      </c>
      <c r="C50" s="126" t="s">
        <v>695</v>
      </c>
      <c r="D50" s="304" t="s">
        <v>701</v>
      </c>
    </row>
    <row r="51" spans="1:4">
      <c r="A51" s="123" t="s">
        <v>584</v>
      </c>
      <c r="B51" s="123" t="s">
        <v>204</v>
      </c>
      <c r="C51" s="126" t="s">
        <v>209</v>
      </c>
      <c r="D51" s="304" t="s">
        <v>387</v>
      </c>
    </row>
    <row r="52" spans="1:4">
      <c r="A52" s="123" t="s">
        <v>584</v>
      </c>
      <c r="B52" s="123" t="s">
        <v>204</v>
      </c>
      <c r="C52" s="302" t="s">
        <v>386</v>
      </c>
      <c r="D52" s="304" t="s">
        <v>702</v>
      </c>
    </row>
    <row r="53" spans="1:4">
      <c r="A53" s="123" t="s">
        <v>584</v>
      </c>
      <c r="B53" s="123" t="s">
        <v>204</v>
      </c>
      <c r="C53" s="302" t="s">
        <v>703</v>
      </c>
    </row>
    <row r="54" spans="1:4">
      <c r="A54" s="123" t="s">
        <v>584</v>
      </c>
      <c r="B54" s="123" t="s">
        <v>204</v>
      </c>
      <c r="C54" s="126" t="s">
        <v>388</v>
      </c>
      <c r="D54" s="304" t="s">
        <v>389</v>
      </c>
    </row>
    <row r="55" spans="1:4">
      <c r="A55" s="123" t="s">
        <v>584</v>
      </c>
      <c r="B55" s="123" t="s">
        <v>204</v>
      </c>
      <c r="C55" s="126" t="s">
        <v>390</v>
      </c>
      <c r="D55" s="304" t="s">
        <v>391</v>
      </c>
    </row>
    <row r="56" spans="1:4">
      <c r="A56" s="123" t="s">
        <v>584</v>
      </c>
      <c r="B56" s="123" t="s">
        <v>204</v>
      </c>
      <c r="C56" s="126" t="s">
        <v>704</v>
      </c>
      <c r="D56" s="304" t="s">
        <v>705</v>
      </c>
    </row>
    <row r="57" spans="1:4">
      <c r="A57" s="123" t="s">
        <v>584</v>
      </c>
      <c r="B57" s="123" t="s">
        <v>204</v>
      </c>
      <c r="C57" s="126" t="s">
        <v>392</v>
      </c>
      <c r="D57" s="304" t="s">
        <v>706</v>
      </c>
    </row>
    <row r="58" spans="1:4">
      <c r="A58" s="123" t="s">
        <v>584</v>
      </c>
      <c r="B58" s="123" t="s">
        <v>204</v>
      </c>
      <c r="C58" s="126" t="s">
        <v>393</v>
      </c>
      <c r="D58" s="304" t="s">
        <v>707</v>
      </c>
    </row>
    <row r="59" spans="1:4">
      <c r="A59" s="123" t="s">
        <v>584</v>
      </c>
      <c r="B59" s="123" t="s">
        <v>204</v>
      </c>
      <c r="C59" s="126" t="s">
        <v>386</v>
      </c>
      <c r="D59" s="304" t="s">
        <v>708</v>
      </c>
    </row>
    <row r="60" spans="1:4">
      <c r="A60" s="123" t="s">
        <v>584</v>
      </c>
      <c r="B60" s="123" t="s">
        <v>204</v>
      </c>
      <c r="C60" s="126" t="s">
        <v>709</v>
      </c>
      <c r="D60" s="304" t="s">
        <v>710</v>
      </c>
    </row>
    <row r="61" spans="1:4">
      <c r="A61" s="123" t="s">
        <v>584</v>
      </c>
      <c r="B61" s="123" t="s">
        <v>204</v>
      </c>
      <c r="C61" s="126" t="s">
        <v>209</v>
      </c>
      <c r="D61" s="304" t="s">
        <v>394</v>
      </c>
    </row>
    <row r="62" spans="1:4">
      <c r="A62" s="123" t="s">
        <v>584</v>
      </c>
      <c r="B62" s="123" t="s">
        <v>204</v>
      </c>
      <c r="C62" s="302" t="s">
        <v>703</v>
      </c>
      <c r="D62" s="304" t="s">
        <v>711</v>
      </c>
    </row>
    <row r="63" spans="1:4">
      <c r="A63" s="123" t="s">
        <v>584</v>
      </c>
      <c r="B63" s="123" t="s">
        <v>204</v>
      </c>
      <c r="C63" s="302" t="s">
        <v>207</v>
      </c>
    </row>
    <row r="64" spans="1:4">
      <c r="A64" s="123" t="s">
        <v>584</v>
      </c>
      <c r="B64" s="123" t="s">
        <v>204</v>
      </c>
      <c r="C64" s="126" t="s">
        <v>392</v>
      </c>
      <c r="D64" s="304" t="s">
        <v>395</v>
      </c>
    </row>
    <row r="65" spans="1:4">
      <c r="A65" s="123" t="s">
        <v>584</v>
      </c>
      <c r="B65" s="123" t="s">
        <v>204</v>
      </c>
      <c r="C65" s="126" t="s">
        <v>393</v>
      </c>
      <c r="D65" s="304" t="s">
        <v>396</v>
      </c>
    </row>
    <row r="66" spans="1:4">
      <c r="A66" s="123" t="s">
        <v>584</v>
      </c>
      <c r="B66" s="123" t="s">
        <v>204</v>
      </c>
      <c r="C66" s="126" t="s">
        <v>209</v>
      </c>
      <c r="D66" s="304" t="s">
        <v>397</v>
      </c>
    </row>
    <row r="67" spans="1:4">
      <c r="A67" s="123" t="s">
        <v>584</v>
      </c>
      <c r="B67" s="123" t="s">
        <v>204</v>
      </c>
      <c r="C67" s="302" t="s">
        <v>207</v>
      </c>
      <c r="D67" s="304" t="str">
        <f>D64&amp;"||+||"&amp;D66</f>
        <v>154-001 · Restaurant||+||154-050 · Accumulated Depreciation</v>
      </c>
    </row>
    <row r="68" spans="1:4">
      <c r="A68" s="123" t="s">
        <v>584</v>
      </c>
      <c r="B68" s="123" t="s">
        <v>204</v>
      </c>
      <c r="C68" s="302" t="s">
        <v>208</v>
      </c>
    </row>
    <row r="69" spans="1:4">
      <c r="A69" s="123" t="s">
        <v>584</v>
      </c>
      <c r="B69" s="123" t="s">
        <v>204</v>
      </c>
      <c r="C69" s="126" t="s">
        <v>398</v>
      </c>
      <c r="D69" s="304" t="s">
        <v>399</v>
      </c>
    </row>
    <row r="70" spans="1:4">
      <c r="A70" s="123" t="s">
        <v>584</v>
      </c>
      <c r="B70" s="123" t="s">
        <v>204</v>
      </c>
      <c r="C70" s="126" t="s">
        <v>400</v>
      </c>
      <c r="D70" s="304" t="s">
        <v>401</v>
      </c>
    </row>
    <row r="71" spans="1:4">
      <c r="A71" s="123" t="s">
        <v>584</v>
      </c>
      <c r="B71" s="123" t="s">
        <v>204</v>
      </c>
      <c r="C71" s="126" t="s">
        <v>402</v>
      </c>
      <c r="D71" s="304" t="s">
        <v>403</v>
      </c>
    </row>
    <row r="72" spans="1:4">
      <c r="A72" s="123" t="s">
        <v>584</v>
      </c>
      <c r="B72" s="123" t="s">
        <v>204</v>
      </c>
      <c r="C72" s="126" t="s">
        <v>404</v>
      </c>
      <c r="D72" s="304" t="s">
        <v>405</v>
      </c>
    </row>
    <row r="73" spans="1:4">
      <c r="A73" s="123" t="s">
        <v>584</v>
      </c>
      <c r="B73" s="123" t="s">
        <v>204</v>
      </c>
      <c r="C73" s="302" t="s">
        <v>208</v>
      </c>
      <c r="D73" s="304" t="s">
        <v>210</v>
      </c>
    </row>
    <row r="74" spans="1:4" ht="100.8">
      <c r="A74" s="123" t="s">
        <v>584</v>
      </c>
      <c r="B74" s="123" t="s">
        <v>204</v>
      </c>
      <c r="C74" s="125" t="s">
        <v>211</v>
      </c>
      <c r="D74" s="42" t="str">
        <f>D43&amp;"||+||"&amp;D41&amp;"||+||"&amp;D46&amp;"||+||"&amp;D49&amp;"||+||"&amp;D51&amp;"||+||"&amp;D62&amp;"||+||"&amp;D67&amp;"||+||"&amp;D73</f>
        <v>151-001 · Leasehold Improvements||+||Total 150-000 · Fees||+||151-050 · Accumulated Depreciation||+||152-001 · Kitchen/Hood||+||152-050 · Accumulated Depreciation||+||Total 153-000 · Machinery and Equipment||+||154-001 · Restaurant||+||154-050 · Accumulated Depreciation||+||Total 160-000 · Intangible Assets</v>
      </c>
    </row>
    <row r="75" spans="1:4">
      <c r="A75" s="123" t="s">
        <v>584</v>
      </c>
      <c r="B75" s="123" t="s">
        <v>204</v>
      </c>
      <c r="C75" s="302" t="s">
        <v>212</v>
      </c>
      <c r="D75" s="304" t="s">
        <v>406</v>
      </c>
    </row>
    <row r="76" spans="1:4" ht="187.2">
      <c r="A76" s="123" t="s">
        <v>584</v>
      </c>
      <c r="B76" s="123" t="s">
        <v>188</v>
      </c>
      <c r="C76" s="124" t="s">
        <v>213</v>
      </c>
      <c r="D76" s="42" t="str">
        <f>D26&amp;"||+||"&amp;D74&amp;"||+||"&amp;D75</f>
        <v>112-000 · Accounts Receivable||+||Total 120-000 · Inventory||+||Total 130-000 · Prepaid Expenses||+||135-010 · Staff Loans/Salary Advances||+||Total 135-020 · Deposits||+||135-030 · Petty Cash Control||+||100-010 · HSBC Bank - 4790||+||100-020 · Bank-2||+||151-001 · Leasehold Improvements||+||Total 150-000 · Fees||+||151-050 · Accumulated Depreciation||+||152-001 · Kitchen/Hood||+||152-050 · Accumulated Depreciation||+||Total 153-000 · Machinery and Equipment||+||154-001 · Restaurant||+||154-050 · Accumulated Depreciation||+||Total 160-000 · Intangible Assets||+||Total 165-000 · Start-Up Costs</v>
      </c>
    </row>
    <row r="77" spans="1:4">
      <c r="A77" s="123" t="s">
        <v>584</v>
      </c>
      <c r="B77" s="123" t="s">
        <v>214</v>
      </c>
      <c r="C77" s="124" t="s">
        <v>214</v>
      </c>
    </row>
    <row r="78" spans="1:4">
      <c r="A78" s="123" t="s">
        <v>584</v>
      </c>
      <c r="B78" s="123" t="s">
        <v>215</v>
      </c>
      <c r="C78" s="125" t="s">
        <v>215</v>
      </c>
    </row>
    <row r="79" spans="1:4">
      <c r="A79" s="123" t="s">
        <v>584</v>
      </c>
      <c r="B79" s="123" t="s">
        <v>215</v>
      </c>
      <c r="C79" s="124" t="s">
        <v>216</v>
      </c>
    </row>
    <row r="80" spans="1:4">
      <c r="A80" s="123" t="s">
        <v>584</v>
      </c>
      <c r="B80" s="123" t="s">
        <v>215</v>
      </c>
      <c r="C80" s="126" t="s">
        <v>217</v>
      </c>
      <c r="D80" s="304" t="s">
        <v>407</v>
      </c>
    </row>
    <row r="81" spans="1:4">
      <c r="A81" s="123" t="s">
        <v>584</v>
      </c>
      <c r="B81" s="123" t="s">
        <v>215</v>
      </c>
      <c r="C81" s="126" t="s">
        <v>448</v>
      </c>
      <c r="D81" s="304" t="s">
        <v>447</v>
      </c>
    </row>
    <row r="82" spans="1:4">
      <c r="A82" s="123" t="s">
        <v>584</v>
      </c>
      <c r="B82" s="123" t="s">
        <v>215</v>
      </c>
      <c r="C82" s="126" t="s">
        <v>218</v>
      </c>
      <c r="D82" s="304" t="s">
        <v>219</v>
      </c>
    </row>
    <row r="83" spans="1:4">
      <c r="A83" s="123" t="s">
        <v>584</v>
      </c>
      <c r="B83" s="123" t="s">
        <v>215</v>
      </c>
      <c r="C83" s="126" t="s">
        <v>220</v>
      </c>
      <c r="D83" s="304" t="s">
        <v>221</v>
      </c>
    </row>
    <row r="84" spans="1:4">
      <c r="A84" s="123" t="s">
        <v>584</v>
      </c>
      <c r="B84" s="123" t="s">
        <v>215</v>
      </c>
      <c r="C84" s="126" t="s">
        <v>712</v>
      </c>
      <c r="D84" s="304" t="s">
        <v>796</v>
      </c>
    </row>
    <row r="85" spans="1:4">
      <c r="A85" s="123" t="s">
        <v>584</v>
      </c>
      <c r="B85" s="123" t="s">
        <v>215</v>
      </c>
      <c r="C85" s="126" t="s">
        <v>713</v>
      </c>
      <c r="D85" s="304" t="s">
        <v>797</v>
      </c>
    </row>
    <row r="86" spans="1:4">
      <c r="A86" s="123" t="s">
        <v>584</v>
      </c>
      <c r="B86" s="123" t="s">
        <v>215</v>
      </c>
      <c r="C86" s="126" t="s">
        <v>714</v>
      </c>
      <c r="D86" s="304" t="s">
        <v>798</v>
      </c>
    </row>
    <row r="87" spans="1:4">
      <c r="A87" s="123" t="s">
        <v>584</v>
      </c>
      <c r="B87" s="123" t="s">
        <v>215</v>
      </c>
      <c r="C87" s="126" t="s">
        <v>715</v>
      </c>
      <c r="D87" s="304" t="s">
        <v>799</v>
      </c>
    </row>
    <row r="88" spans="1:4">
      <c r="A88" s="123" t="s">
        <v>584</v>
      </c>
      <c r="B88" s="123" t="s">
        <v>215</v>
      </c>
      <c r="C88" s="126" t="s">
        <v>716</v>
      </c>
      <c r="D88" s="304" t="s">
        <v>795</v>
      </c>
    </row>
    <row r="89" spans="1:4">
      <c r="A89" s="123" t="s">
        <v>584</v>
      </c>
      <c r="B89" s="123" t="s">
        <v>215</v>
      </c>
      <c r="C89" s="126" t="s">
        <v>717</v>
      </c>
      <c r="D89" s="304" t="s">
        <v>800</v>
      </c>
    </row>
    <row r="90" spans="1:4">
      <c r="A90" s="123" t="s">
        <v>584</v>
      </c>
      <c r="B90" s="123" t="s">
        <v>215</v>
      </c>
      <c r="C90" s="126" t="s">
        <v>718</v>
      </c>
      <c r="D90" s="304" t="s">
        <v>801</v>
      </c>
    </row>
    <row r="91" spans="1:4">
      <c r="A91" s="123" t="s">
        <v>584</v>
      </c>
      <c r="B91" s="123" t="s">
        <v>215</v>
      </c>
      <c r="C91" s="126" t="s">
        <v>719</v>
      </c>
      <c r="D91" s="304" t="s">
        <v>802</v>
      </c>
    </row>
    <row r="92" spans="1:4">
      <c r="A92" s="123" t="s">
        <v>584</v>
      </c>
      <c r="B92" s="123" t="s">
        <v>215</v>
      </c>
      <c r="C92" s="126" t="s">
        <v>720</v>
      </c>
      <c r="D92" s="304" t="s">
        <v>803</v>
      </c>
    </row>
    <row r="93" spans="1:4">
      <c r="A93" s="123" t="s">
        <v>584</v>
      </c>
      <c r="B93" s="123" t="s">
        <v>215</v>
      </c>
      <c r="C93" s="126" t="s">
        <v>222</v>
      </c>
      <c r="D93" s="304" t="s">
        <v>223</v>
      </c>
    </row>
    <row r="94" spans="1:4">
      <c r="A94" s="123" t="s">
        <v>584</v>
      </c>
      <c r="B94" s="123" t="s">
        <v>215</v>
      </c>
      <c r="C94" s="125" t="s">
        <v>408</v>
      </c>
    </row>
    <row r="95" spans="1:4">
      <c r="A95" s="123" t="s">
        <v>584</v>
      </c>
      <c r="B95" s="123" t="s">
        <v>215</v>
      </c>
      <c r="C95" s="126" t="s">
        <v>409</v>
      </c>
      <c r="D95" s="304" t="s">
        <v>410</v>
      </c>
    </row>
    <row r="96" spans="1:4">
      <c r="A96" s="123" t="s">
        <v>584</v>
      </c>
      <c r="B96" s="123" t="s">
        <v>215</v>
      </c>
      <c r="C96" s="126" t="s">
        <v>411</v>
      </c>
      <c r="D96" s="304" t="s">
        <v>804</v>
      </c>
    </row>
    <row r="97" spans="1:4">
      <c r="A97" s="123" t="s">
        <v>584</v>
      </c>
      <c r="B97" s="123" t="s">
        <v>215</v>
      </c>
      <c r="C97" s="126" t="s">
        <v>412</v>
      </c>
      <c r="D97" s="304" t="s">
        <v>805</v>
      </c>
    </row>
    <row r="98" spans="1:4">
      <c r="A98" s="123" t="s">
        <v>584</v>
      </c>
      <c r="B98" s="123" t="s">
        <v>215</v>
      </c>
      <c r="C98" s="126" t="s">
        <v>413</v>
      </c>
      <c r="D98" s="304" t="s">
        <v>414</v>
      </c>
    </row>
    <row r="99" spans="1:4">
      <c r="A99" s="123" t="s">
        <v>584</v>
      </c>
      <c r="B99" s="123" t="s">
        <v>215</v>
      </c>
      <c r="C99" s="126" t="s">
        <v>415</v>
      </c>
      <c r="D99" s="304" t="s">
        <v>416</v>
      </c>
    </row>
    <row r="100" spans="1:4">
      <c r="A100" s="123" t="s">
        <v>584</v>
      </c>
      <c r="B100" s="123" t="s">
        <v>215</v>
      </c>
      <c r="C100" s="126" t="s">
        <v>417</v>
      </c>
      <c r="D100" s="304" t="s">
        <v>456</v>
      </c>
    </row>
    <row r="101" spans="1:4">
      <c r="A101" s="123" t="s">
        <v>584</v>
      </c>
      <c r="B101" s="123" t="s">
        <v>215</v>
      </c>
      <c r="C101" s="126" t="s">
        <v>418</v>
      </c>
      <c r="D101" s="304" t="s">
        <v>419</v>
      </c>
    </row>
    <row r="102" spans="1:4">
      <c r="A102" s="123" t="s">
        <v>584</v>
      </c>
      <c r="B102" s="123" t="s">
        <v>215</v>
      </c>
      <c r="C102" s="126" t="s">
        <v>420</v>
      </c>
      <c r="D102" s="304" t="s">
        <v>421</v>
      </c>
    </row>
    <row r="103" spans="1:4">
      <c r="A103" s="123" t="s">
        <v>584</v>
      </c>
      <c r="B103" s="123" t="s">
        <v>215</v>
      </c>
      <c r="C103" s="126" t="s">
        <v>422</v>
      </c>
      <c r="D103" s="304" t="s">
        <v>423</v>
      </c>
    </row>
    <row r="104" spans="1:4">
      <c r="A104" s="123" t="s">
        <v>584</v>
      </c>
      <c r="B104" s="123" t="s">
        <v>215</v>
      </c>
      <c r="C104" s="125" t="s">
        <v>424</v>
      </c>
      <c r="D104" s="304" t="s">
        <v>425</v>
      </c>
    </row>
    <row r="105" spans="1:4" ht="259.2">
      <c r="A105" s="123" t="s">
        <v>584</v>
      </c>
      <c r="B105" s="123" t="s">
        <v>215</v>
      </c>
      <c r="C105" s="124" t="s">
        <v>224</v>
      </c>
      <c r="D105" s="42" t="str">
        <f>D80&amp;"||+||"&amp;D81&amp;"||+||"&amp;D82&amp;"||"&amp;D83&amp;"||+||"&amp;D84&amp;"||+||"&amp;D85&amp;"||+||"&amp;D86&amp;"||+||"&amp;D87&amp;"||+||"&amp;D88&amp;"||+||"&amp;D89&amp;"||+||"&amp;D90&amp;"||+||"&amp;D91&amp;"||+||"&amp;D93&amp;"||+||"&amp;D95&amp;"||+||"&amp;D96&amp;"||+||"&amp;D97&amp;"||+||"&amp;D98&amp;"||+||"&amp;D99&amp;"||+||"&amp;D100&amp;"||+||"&amp;D101&amp;"||+||"&amp;D102&amp;"||+||"&amp;D103&amp;"||+||"&amp;D104</f>
        <v>200-000 · Accounts Payable - USD||+||205-010 · Credit Card - 12000||+||Total 210-000 · Accrued Liabilities||215-010 · Net Wages Payable||+||215-011 · 401k Payable||+||215-020 · Payroll Tax Payable||+||215-030 · Payroll Misc Deductions||+||215-040 · Child Support||+||215-050 · Tips Payable||+||215-060 · Service Charge Payable Account||+||215-070 · NY Paid Family Leave||+||215-080 · Disability Payable||+||220-020 · Sales Tax Payable||+||215-100 · Liability for uncleared checks||+||250-100 · Deposits for Future Events||+||250-200 · Gift Certificates||+||230-010 · Due To/From SIB LLC||+||230-020 · Due To/From SIB Consulting LA||+||230-030 · Due To/From ROTH LLC||+||230-040 · Due To/From Toad Jam LLC||+||230-050 · Due To/From Ennismore Int||+||230-060 · Due To/From Hoxton Payroll||+||290-010 · Promissory Note Payable</v>
      </c>
    </row>
    <row r="106" spans="1:4" ht="259.2">
      <c r="A106" s="123" t="s">
        <v>584</v>
      </c>
      <c r="B106" s="123" t="s">
        <v>215</v>
      </c>
      <c r="C106" s="125" t="s">
        <v>225</v>
      </c>
      <c r="D106" s="42" t="str">
        <f>D81&amp;"||+||"&amp;D82&amp;"||+||"&amp;D83&amp;"||"&amp;D84&amp;"||+||"&amp;D85&amp;"||+||"&amp;D86&amp;"||+||"&amp;D87&amp;"||+||"&amp;D88&amp;"||+||"&amp;D89&amp;"||+||"&amp;D90&amp;"||+||"&amp;D91&amp;"||+||"&amp;D93&amp;"||+||"&amp;D95&amp;"||+||"&amp;D96&amp;"||+||"&amp;D97&amp;"||+||"&amp;D98&amp;"||+||"&amp;D99&amp;"||+||"&amp;D100&amp;"||+||"&amp;D101&amp;"||+||"&amp;D102&amp;"||+||"&amp;D103&amp;"||+||"&amp;D104&amp;"||+||"&amp;D80</f>
        <v>205-010 · Credit Card - 12000||+||Total 210-000 · Accrued Liabilities||+||215-010 · Net Wages Payable||215-011 · 401k Payable||+||215-020 · Payroll Tax Payable||+||215-030 · Payroll Misc Deductions||+||215-040 · Child Support||+||215-050 · Tips Payable||+||215-060 · Service Charge Payable Account||+||215-070 · NY Paid Family Leave||+||215-080 · Disability Payable||+||220-020 · Sales Tax Payable||+||215-100 · Liability for uncleared checks||+||250-100 · Deposits for Future Events||+||250-200 · Gift Certificates||+||230-010 · Due To/From SIB LLC||+||230-020 · Due To/From SIB Consulting LA||+||230-030 · Due To/From ROTH LLC||+||230-040 · Due To/From Toad Jam LLC||+||230-050 · Due To/From Ennismore Int||+||230-060 · Due To/From Hoxton Payroll||+||290-010 · Promissory Note Payable||+||200-000 · Accounts Payable - USD</v>
      </c>
    </row>
    <row r="107" spans="1:4">
      <c r="A107" s="123" t="s">
        <v>584</v>
      </c>
      <c r="B107" s="123" t="s">
        <v>226</v>
      </c>
      <c r="C107" s="125" t="s">
        <v>226</v>
      </c>
    </row>
    <row r="108" spans="1:4">
      <c r="A108" s="123" t="s">
        <v>584</v>
      </c>
      <c r="B108" s="123" t="s">
        <v>226</v>
      </c>
      <c r="C108" s="124" t="s">
        <v>227</v>
      </c>
    </row>
    <row r="109" spans="1:4">
      <c r="A109" s="123" t="s">
        <v>584</v>
      </c>
      <c r="B109" s="123" t="s">
        <v>226</v>
      </c>
      <c r="C109" s="126" t="s">
        <v>426</v>
      </c>
      <c r="D109" s="304" t="s">
        <v>427</v>
      </c>
    </row>
    <row r="110" spans="1:4">
      <c r="A110" s="123" t="s">
        <v>584</v>
      </c>
      <c r="B110" s="123" t="s">
        <v>226</v>
      </c>
      <c r="C110" s="124" t="s">
        <v>229</v>
      </c>
      <c r="D110" s="304" t="s">
        <v>228</v>
      </c>
    </row>
    <row r="111" spans="1:4">
      <c r="A111" s="123" t="s">
        <v>584</v>
      </c>
      <c r="B111" s="123" t="s">
        <v>226</v>
      </c>
      <c r="C111" s="126" t="s">
        <v>230</v>
      </c>
      <c r="D111" s="304" t="s">
        <v>231</v>
      </c>
    </row>
    <row r="112" spans="1:4">
      <c r="A112" s="123" t="s">
        <v>584</v>
      </c>
      <c r="B112" s="123" t="s">
        <v>226</v>
      </c>
      <c r="C112" s="126" t="s">
        <v>232</v>
      </c>
      <c r="D112" s="304" t="s">
        <v>233</v>
      </c>
    </row>
    <row r="113" spans="1:4">
      <c r="A113" s="123" t="s">
        <v>584</v>
      </c>
      <c r="B113" s="123" t="s">
        <v>226</v>
      </c>
      <c r="C113" s="125" t="s">
        <v>234</v>
      </c>
      <c r="D113" s="304" t="str">
        <f>D110&amp;"||+||"&amp;D111&amp;"||+||"&amp;D112</f>
        <v>Total 280-000 · Member's Contributions||+||32000 · Retained Earnings||+||Net Income</v>
      </c>
    </row>
    <row r="114" spans="1:4" ht="302.39999999999998">
      <c r="A114" s="123" t="s">
        <v>584</v>
      </c>
      <c r="B114" s="123" t="s">
        <v>214</v>
      </c>
      <c r="C114" s="124" t="s">
        <v>235</v>
      </c>
      <c r="D114" s="42" t="str">
        <f>D106&amp;"||+||"&amp;D113</f>
        <v>205-010 · Credit Card - 12000||+||Total 210-000 · Accrued Liabilities||+||215-010 · Net Wages Payable||215-011 · 401k Payable||+||215-020 · Payroll Tax Payable||+||215-030 · Payroll Misc Deductions||+||215-040 · Child Support||+||215-050 · Tips Payable||+||215-060 · Service Charge Payable Account||+||215-070 · NY Paid Family Leave||+||215-080 · Disability Payable||+||220-020 · Sales Tax Payable||+||215-100 · Liability for uncleared checks||+||250-100 · Deposits for Future Events||+||250-200 · Gift Certificates||+||230-010 · Due To/From SIB LLC||+||230-020 · Due To/From SIB Consulting LA||+||230-030 · Due To/From ROTH LLC||+||230-040 · Due To/From Toad Jam LLC||+||230-050 · Due To/From Ennismore Int||+||230-060 · Due To/From Hoxton Payroll||+||290-010 · Promissory Note Payable||+||200-000 · Accounts Payable - USD||+||Total 280-000 · Member's Contributions||+||32000 · Retained Earnings||+||Net Income</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N130"/>
  <sheetViews>
    <sheetView topLeftCell="A111" workbookViewId="0"/>
  </sheetViews>
  <sheetFormatPr defaultColWidth="9.109375" defaultRowHeight="14.4"/>
  <cols>
    <col min="1" max="1" width="47.33203125" style="304" customWidth="1"/>
    <col min="2" max="5" width="12.33203125" style="128" bestFit="1" customWidth="1"/>
    <col min="6" max="9" width="11.33203125" style="128" bestFit="1" customWidth="1"/>
    <col min="10" max="10" width="12.109375" style="128" bestFit="1" customWidth="1"/>
    <col min="11" max="12" width="11.33203125" style="128" bestFit="1" customWidth="1"/>
    <col min="13" max="13" width="12.33203125" style="304" bestFit="1" customWidth="1"/>
    <col min="14" max="14" width="14" style="304" bestFit="1" customWidth="1"/>
    <col min="15" max="16384" width="9.109375" style="304"/>
  </cols>
  <sheetData>
    <row r="1" spans="1:14" ht="15" thickBot="1"/>
    <row r="2" spans="1:14" s="308" customFormat="1" ht="15.6" thickTop="1" thickBot="1">
      <c r="A2" s="304"/>
      <c r="B2" s="168">
        <v>44217</v>
      </c>
      <c r="C2" s="168">
        <v>44248</v>
      </c>
      <c r="D2" s="168">
        <v>44276</v>
      </c>
      <c r="E2" s="168">
        <v>44307</v>
      </c>
      <c r="F2" s="168">
        <v>44337</v>
      </c>
      <c r="G2" s="168">
        <v>44368</v>
      </c>
      <c r="H2" s="168">
        <v>44398</v>
      </c>
      <c r="I2" s="168">
        <v>44429</v>
      </c>
      <c r="J2" s="168">
        <v>44460</v>
      </c>
      <c r="K2" s="168">
        <v>44490</v>
      </c>
      <c r="L2" s="168">
        <v>44521</v>
      </c>
      <c r="M2" s="168">
        <v>44551</v>
      </c>
      <c r="N2" s="168" t="s">
        <v>465</v>
      </c>
    </row>
    <row r="3" spans="1:14" ht="15" thickTop="1">
      <c r="A3" s="304" t="s">
        <v>237</v>
      </c>
    </row>
    <row r="4" spans="1:14">
      <c r="A4" s="166" t="s">
        <v>438</v>
      </c>
      <c r="B4" s="165"/>
      <c r="C4" s="165"/>
      <c r="D4" s="165"/>
      <c r="E4" s="165"/>
      <c r="F4" s="165"/>
      <c r="G4" s="165"/>
      <c r="H4" s="165"/>
      <c r="I4" s="165"/>
      <c r="J4" s="165"/>
      <c r="K4" s="165"/>
      <c r="L4" s="165"/>
      <c r="M4" s="165"/>
      <c r="N4" s="165">
        <f t="shared" ref="N4:N9" si="0">SUM(B4:M4)</f>
        <v>0</v>
      </c>
    </row>
    <row r="5" spans="1:14">
      <c r="A5" s="166" t="s">
        <v>439</v>
      </c>
      <c r="B5" s="165"/>
      <c r="C5" s="165"/>
      <c r="D5" s="165"/>
      <c r="E5" s="165"/>
      <c r="F5" s="165"/>
      <c r="G5" s="165"/>
      <c r="H5" s="165"/>
      <c r="I5" s="165"/>
      <c r="J5" s="165"/>
      <c r="K5" s="165"/>
      <c r="L5" s="165"/>
      <c r="M5" s="165"/>
      <c r="N5" s="165">
        <f t="shared" si="0"/>
        <v>0</v>
      </c>
    </row>
    <row r="6" spans="1:14">
      <c r="A6" s="166" t="s">
        <v>455</v>
      </c>
      <c r="B6" s="165"/>
      <c r="C6" s="165"/>
      <c r="D6" s="165"/>
      <c r="E6" s="165"/>
      <c r="F6" s="165"/>
      <c r="G6" s="165"/>
      <c r="H6" s="165"/>
      <c r="I6" s="165"/>
      <c r="J6" s="165"/>
      <c r="K6" s="165"/>
      <c r="L6" s="165"/>
      <c r="M6" s="165"/>
      <c r="N6" s="165">
        <f t="shared" si="0"/>
        <v>0</v>
      </c>
    </row>
    <row r="7" spans="1:14">
      <c r="A7" s="166" t="s">
        <v>440</v>
      </c>
      <c r="B7" s="165"/>
      <c r="C7" s="165"/>
      <c r="D7" s="165"/>
      <c r="E7" s="165"/>
      <c r="F7" s="165"/>
      <c r="G7" s="165"/>
      <c r="H7" s="165"/>
      <c r="I7" s="165"/>
      <c r="J7" s="165"/>
      <c r="K7" s="165"/>
      <c r="L7" s="165"/>
      <c r="M7" s="165"/>
      <c r="N7" s="165">
        <f t="shared" si="0"/>
        <v>0</v>
      </c>
    </row>
    <row r="8" spans="1:14">
      <c r="A8" s="166" t="s">
        <v>441</v>
      </c>
      <c r="B8" s="165"/>
      <c r="C8" s="165"/>
      <c r="D8" s="165"/>
      <c r="E8" s="165"/>
      <c r="F8" s="165"/>
      <c r="G8" s="165"/>
      <c r="H8" s="165"/>
      <c r="I8" s="165"/>
      <c r="J8" s="165"/>
      <c r="K8" s="165"/>
      <c r="L8" s="165"/>
      <c r="M8" s="165"/>
      <c r="N8" s="165">
        <f t="shared" si="0"/>
        <v>0</v>
      </c>
    </row>
    <row r="9" spans="1:14">
      <c r="A9" s="166" t="s">
        <v>442</v>
      </c>
      <c r="B9" s="165"/>
      <c r="C9" s="165"/>
      <c r="D9" s="165"/>
      <c r="E9" s="165"/>
      <c r="F9" s="165"/>
      <c r="G9" s="165"/>
      <c r="H9" s="165"/>
      <c r="I9" s="165"/>
      <c r="J9" s="165"/>
      <c r="K9" s="165"/>
      <c r="L9" s="165"/>
      <c r="M9" s="165"/>
      <c r="N9" s="165">
        <f t="shared" si="0"/>
        <v>0</v>
      </c>
    </row>
    <row r="11" spans="1:14">
      <c r="A11" s="304" t="s">
        <v>428</v>
      </c>
    </row>
    <row r="12" spans="1:14">
      <c r="A12" s="147" t="s">
        <v>49</v>
      </c>
      <c r="B12" s="158"/>
      <c r="C12" s="158"/>
      <c r="D12" s="158">
        <v>211927.61598942985</v>
      </c>
      <c r="E12" s="128">
        <v>198250.416</v>
      </c>
      <c r="F12" s="128">
        <v>204858.76319999999</v>
      </c>
      <c r="G12" s="128">
        <v>231289.1366</v>
      </c>
      <c r="H12" s="128">
        <v>241510.8653</v>
      </c>
      <c r="I12" s="128">
        <v>243140.505</v>
      </c>
      <c r="J12" s="128">
        <v>235215.33720000001</v>
      </c>
      <c r="K12" s="128">
        <v>243055.84839999999</v>
      </c>
      <c r="L12" s="128">
        <v>374893.58789999998</v>
      </c>
      <c r="M12" s="128">
        <v>398616.89360000001</v>
      </c>
      <c r="N12" s="158">
        <f>+SUM(B12:M12)</f>
        <v>2582758.9691894301</v>
      </c>
    </row>
    <row r="13" spans="1:14">
      <c r="A13" s="304" t="s">
        <v>246</v>
      </c>
      <c r="B13" s="158"/>
      <c r="C13" s="158"/>
      <c r="D13" s="158">
        <v>3460.0427100315082</v>
      </c>
      <c r="E13" s="128">
        <v>4006.3104899999998</v>
      </c>
      <c r="F13" s="128">
        <v>4139.8541729999997</v>
      </c>
      <c r="G13" s="128">
        <v>4673.9679690000003</v>
      </c>
      <c r="H13" s="128">
        <v>4880.5320700000002</v>
      </c>
      <c r="I13" s="128">
        <v>4913.4643720000004</v>
      </c>
      <c r="J13" s="128">
        <v>4753.3099389999998</v>
      </c>
      <c r="K13" s="128">
        <v>4911.7536030000001</v>
      </c>
      <c r="L13" s="128">
        <v>7130.3290239999997</v>
      </c>
      <c r="M13" s="128">
        <v>7463.7688660000003</v>
      </c>
      <c r="N13" s="158">
        <f t="shared" ref="N13:N21" si="1">+SUM(B13:M13)</f>
        <v>50333.333216031504</v>
      </c>
    </row>
    <row r="14" spans="1:14">
      <c r="A14" s="304" t="s">
        <v>247</v>
      </c>
      <c r="B14" s="158"/>
      <c r="C14" s="158"/>
      <c r="D14" s="158">
        <v>28112.847019006003</v>
      </c>
      <c r="E14" s="128">
        <v>30976.627499999999</v>
      </c>
      <c r="F14" s="128">
        <v>32009.18175</v>
      </c>
      <c r="G14" s="128">
        <v>36138.927589999999</v>
      </c>
      <c r="H14" s="128">
        <v>37736.07271</v>
      </c>
      <c r="I14" s="128">
        <v>37990.703909999997</v>
      </c>
      <c r="J14" s="128">
        <v>36752.396430000001</v>
      </c>
      <c r="K14" s="128">
        <v>37977.476320000002</v>
      </c>
      <c r="L14" s="128">
        <v>55131.409979999997</v>
      </c>
      <c r="M14" s="128">
        <v>58779.135739999998</v>
      </c>
      <c r="N14" s="158">
        <f t="shared" si="1"/>
        <v>391604.77894900599</v>
      </c>
    </row>
    <row r="15" spans="1:14">
      <c r="A15" s="304" t="s">
        <v>585</v>
      </c>
      <c r="B15" s="158"/>
      <c r="C15" s="158"/>
      <c r="D15" s="158">
        <v>156999.43796767967</v>
      </c>
      <c r="E15" s="128">
        <v>149926.87710000001</v>
      </c>
      <c r="F15" s="128">
        <v>154924.43969999999</v>
      </c>
      <c r="G15" s="128">
        <v>174912.40960000001</v>
      </c>
      <c r="H15" s="128">
        <v>182642.5919</v>
      </c>
      <c r="I15" s="128">
        <v>183875.00690000001</v>
      </c>
      <c r="J15" s="128">
        <v>177881.5987</v>
      </c>
      <c r="K15" s="128">
        <v>183810.98540000001</v>
      </c>
      <c r="L15" s="128">
        <v>244783.46030000001</v>
      </c>
      <c r="M15" s="128">
        <v>260527.7812</v>
      </c>
      <c r="N15" s="158">
        <f t="shared" si="1"/>
        <v>1870284.5887676799</v>
      </c>
    </row>
    <row r="16" spans="1:14">
      <c r="A16" s="304" t="s">
        <v>586</v>
      </c>
      <c r="B16" s="158"/>
      <c r="C16" s="158"/>
      <c r="D16" s="158">
        <v>7785.0960975708922</v>
      </c>
      <c r="E16" s="128">
        <v>7434.3905999999997</v>
      </c>
      <c r="F16" s="128">
        <v>7682.2036200000002</v>
      </c>
      <c r="G16" s="128">
        <v>8673.3426230000005</v>
      </c>
      <c r="H16" s="128">
        <v>8301.9359960000002</v>
      </c>
      <c r="I16" s="128">
        <v>8337.1866090000003</v>
      </c>
      <c r="J16" s="128">
        <v>8085.5272160000004</v>
      </c>
      <c r="K16" s="128">
        <v>8314.5354810000008</v>
      </c>
      <c r="L16" s="128">
        <v>12070.103359999999</v>
      </c>
      <c r="M16" s="128">
        <v>12783.85569</v>
      </c>
      <c r="N16" s="158">
        <f t="shared" si="1"/>
        <v>89468.177292570879</v>
      </c>
    </row>
    <row r="17" spans="1:14">
      <c r="A17" s="304" t="s">
        <v>587</v>
      </c>
      <c r="B17" s="158"/>
      <c r="C17" s="158"/>
      <c r="D17" s="158">
        <v>7568.8434281939244</v>
      </c>
      <c r="E17" s="128">
        <v>5906.2103100000004</v>
      </c>
      <c r="F17" s="128">
        <v>6103.083987</v>
      </c>
      <c r="G17" s="128">
        <v>6890.4888609999998</v>
      </c>
      <c r="H17" s="128">
        <v>7949.7326510000003</v>
      </c>
      <c r="I17" s="128">
        <v>8023.6366660000003</v>
      </c>
      <c r="J17" s="128">
        <v>7742.5048489999999</v>
      </c>
      <c r="K17" s="128">
        <v>8041.0976520000004</v>
      </c>
      <c r="L17" s="128">
        <v>11673.157209999999</v>
      </c>
      <c r="M17" s="128">
        <v>13300.217060000001</v>
      </c>
      <c r="N17" s="158">
        <f t="shared" si="1"/>
        <v>83198.972674193923</v>
      </c>
    </row>
    <row r="18" spans="1:14">
      <c r="A18" s="304" t="s">
        <v>588</v>
      </c>
      <c r="B18" s="158"/>
      <c r="C18" s="158"/>
      <c r="D18" s="158">
        <v>16331.936105920713</v>
      </c>
      <c r="E18" s="128">
        <v>16520.867999999999</v>
      </c>
      <c r="F18" s="128">
        <v>17071.563600000001</v>
      </c>
      <c r="G18" s="128">
        <v>19274.094720000001</v>
      </c>
      <c r="H18" s="128">
        <v>20125.905439999999</v>
      </c>
      <c r="I18" s="128">
        <v>20261.708750000002</v>
      </c>
      <c r="J18" s="128">
        <v>19601.2781</v>
      </c>
      <c r="K18" s="128">
        <v>20254.654030000002</v>
      </c>
      <c r="L18" s="128">
        <v>29403.418659999999</v>
      </c>
      <c r="M18" s="128">
        <v>26720.032009999999</v>
      </c>
      <c r="N18" s="158">
        <f t="shared" si="1"/>
        <v>205565.45941592069</v>
      </c>
    </row>
    <row r="19" spans="1:14">
      <c r="A19" s="304" t="s">
        <v>249</v>
      </c>
      <c r="B19" s="158"/>
      <c r="C19" s="158"/>
      <c r="D19" s="158">
        <v>0</v>
      </c>
      <c r="E19" s="158"/>
      <c r="F19" s="158"/>
      <c r="G19" s="158"/>
      <c r="H19" s="158"/>
      <c r="I19" s="158"/>
      <c r="J19" s="158"/>
      <c r="K19" s="158"/>
      <c r="L19" s="158"/>
      <c r="M19" s="167"/>
      <c r="N19" s="158">
        <f t="shared" si="1"/>
        <v>0</v>
      </c>
    </row>
    <row r="20" spans="1:14">
      <c r="A20" s="304" t="s">
        <v>670</v>
      </c>
      <c r="B20" s="158"/>
      <c r="C20" s="158"/>
      <c r="D20" s="158">
        <v>375</v>
      </c>
      <c r="E20" s="158"/>
      <c r="F20" s="158"/>
      <c r="G20" s="158"/>
      <c r="H20" s="158"/>
      <c r="I20" s="158"/>
      <c r="J20" s="158"/>
      <c r="K20" s="158"/>
      <c r="L20" s="158"/>
      <c r="M20" s="128">
        <v>4173.5655740000002</v>
      </c>
      <c r="N20" s="158">
        <f t="shared" si="1"/>
        <v>4548.5655740000002</v>
      </c>
    </row>
    <row r="21" spans="1:14">
      <c r="A21" s="304" t="s">
        <v>251</v>
      </c>
      <c r="B21" s="158"/>
      <c r="C21" s="158"/>
      <c r="D21" s="158">
        <v>0</v>
      </c>
      <c r="E21" s="158"/>
      <c r="F21" s="158"/>
      <c r="G21" s="158"/>
      <c r="H21" s="158"/>
      <c r="I21" s="158"/>
      <c r="J21" s="158"/>
      <c r="K21" s="158"/>
      <c r="L21" s="158"/>
      <c r="M21" s="167"/>
      <c r="N21" s="158">
        <f t="shared" si="1"/>
        <v>0</v>
      </c>
    </row>
    <row r="22" spans="1:14">
      <c r="A22" s="311" t="s">
        <v>429</v>
      </c>
      <c r="B22" s="163">
        <f>+SUM(B12:B21)</f>
        <v>0</v>
      </c>
      <c r="C22" s="163">
        <f>+SUM(C12:C21)</f>
        <v>0</v>
      </c>
      <c r="D22" s="163">
        <f>+SUM(D12:D21)</f>
        <v>432560.81931783253</v>
      </c>
      <c r="E22" s="163">
        <f>+SUM(E12:E21)</f>
        <v>413021.7</v>
      </c>
      <c r="F22" s="163">
        <f t="shared" ref="F22:N22" si="2">+SUM(F12:F21)</f>
        <v>426789.09002999996</v>
      </c>
      <c r="G22" s="163">
        <f t="shared" si="2"/>
        <v>481852.36796299997</v>
      </c>
      <c r="H22" s="163">
        <f t="shared" si="2"/>
        <v>503147.63606700004</v>
      </c>
      <c r="I22" s="163">
        <f t="shared" si="2"/>
        <v>506542.21220700006</v>
      </c>
      <c r="J22" s="163">
        <f t="shared" si="2"/>
        <v>490031.95243400009</v>
      </c>
      <c r="K22" s="163">
        <f t="shared" si="2"/>
        <v>506366.35088600003</v>
      </c>
      <c r="L22" s="163">
        <f t="shared" si="2"/>
        <v>735085.46643399983</v>
      </c>
      <c r="M22" s="163">
        <f t="shared" si="2"/>
        <v>782365.24974</v>
      </c>
      <c r="N22" s="163">
        <f t="shared" si="2"/>
        <v>5277762.8450788325</v>
      </c>
    </row>
    <row r="23" spans="1:14">
      <c r="A23" s="304" t="s">
        <v>52</v>
      </c>
      <c r="B23" s="158"/>
      <c r="C23" s="158"/>
      <c r="D23" s="158">
        <v>59339.732477040365</v>
      </c>
      <c r="E23" s="158">
        <v>54518.864399999999</v>
      </c>
      <c r="F23" s="158">
        <v>56336.159879999999</v>
      </c>
      <c r="G23" s="158">
        <v>63604.512569999999</v>
      </c>
      <c r="H23" s="158">
        <v>66415.487970000002</v>
      </c>
      <c r="I23" s="158">
        <v>66863.638879999999</v>
      </c>
      <c r="J23" s="158">
        <v>64684.217720000001</v>
      </c>
      <c r="K23" s="158">
        <v>66840.358319999999</v>
      </c>
      <c r="L23" s="158">
        <v>103095.73669999999</v>
      </c>
      <c r="M23" s="158">
        <v>109619.64569999999</v>
      </c>
      <c r="N23" s="158">
        <f t="shared" ref="N23:N29" si="3">+SUM(B23:M23)</f>
        <v>711318.35461704037</v>
      </c>
    </row>
    <row r="24" spans="1:14">
      <c r="A24" s="304" t="s">
        <v>252</v>
      </c>
      <c r="B24" s="158"/>
      <c r="C24" s="158"/>
      <c r="D24" s="158">
        <v>795.80982330724692</v>
      </c>
      <c r="E24" s="158">
        <v>721.13588819999995</v>
      </c>
      <c r="F24" s="158">
        <v>745.1737511</v>
      </c>
      <c r="G24" s="158">
        <v>1075.0126330000001</v>
      </c>
      <c r="H24" s="158">
        <v>878.49577269999997</v>
      </c>
      <c r="I24" s="158">
        <v>1130.096806</v>
      </c>
      <c r="J24" s="158">
        <v>1093.2612859999999</v>
      </c>
      <c r="K24" s="158">
        <v>1129.7033289999999</v>
      </c>
      <c r="L24" s="158">
        <v>1639.975676</v>
      </c>
      <c r="M24" s="158">
        <v>1716.666839</v>
      </c>
      <c r="N24" s="158">
        <f t="shared" si="3"/>
        <v>10925.331804307245</v>
      </c>
    </row>
    <row r="25" spans="1:14">
      <c r="A25" s="304" t="s">
        <v>53</v>
      </c>
      <c r="B25" s="158"/>
      <c r="C25" s="158"/>
      <c r="D25" s="158">
        <v>5903.6978739912602</v>
      </c>
      <c r="E25" s="158">
        <v>6505.0917749999999</v>
      </c>
      <c r="F25" s="158">
        <v>6721.9281680000004</v>
      </c>
      <c r="G25" s="158">
        <v>7589.1747949999999</v>
      </c>
      <c r="H25" s="158">
        <v>7924.5752689999999</v>
      </c>
      <c r="I25" s="158">
        <v>7978.0478210000001</v>
      </c>
      <c r="J25" s="158">
        <v>7718.0032510000001</v>
      </c>
      <c r="K25" s="158">
        <v>7975.2700260000001</v>
      </c>
      <c r="L25" s="158">
        <v>11577.596100000001</v>
      </c>
      <c r="M25" s="158">
        <v>12343.6185</v>
      </c>
      <c r="N25" s="158">
        <f t="shared" si="3"/>
        <v>82237.003578991251</v>
      </c>
    </row>
    <row r="26" spans="1:14">
      <c r="A26" s="304" t="s">
        <v>54</v>
      </c>
      <c r="B26" s="158"/>
      <c r="C26" s="158"/>
      <c r="D26" s="158">
        <v>25904.907264667145</v>
      </c>
      <c r="E26" s="158">
        <v>25487.56911</v>
      </c>
      <c r="F26" s="158">
        <v>26337.154740000002</v>
      </c>
      <c r="G26" s="158">
        <v>28860.547579999999</v>
      </c>
      <c r="H26" s="158">
        <v>30136.027669999999</v>
      </c>
      <c r="I26" s="158">
        <v>30339.37614</v>
      </c>
      <c r="J26" s="158">
        <v>29350.463790000002</v>
      </c>
      <c r="K26" s="158">
        <v>30328.812590000001</v>
      </c>
      <c r="L26" s="158">
        <v>40389.270949999998</v>
      </c>
      <c r="M26" s="158">
        <v>42987.083899999998</v>
      </c>
      <c r="N26" s="158">
        <f t="shared" si="3"/>
        <v>310121.21373466717</v>
      </c>
    </row>
    <row r="27" spans="1:14">
      <c r="A27" s="304" t="s">
        <v>55</v>
      </c>
      <c r="B27" s="158"/>
      <c r="C27" s="158"/>
      <c r="D27" s="158">
        <v>1868.423063417014</v>
      </c>
      <c r="E27" s="158">
        <v>1784.2537440000001</v>
      </c>
      <c r="F27" s="158">
        <v>1843.728869</v>
      </c>
      <c r="G27" s="158">
        <v>2081.6022290000001</v>
      </c>
      <c r="H27" s="158">
        <v>1992.464639</v>
      </c>
      <c r="I27" s="158">
        <v>2000.924786</v>
      </c>
      <c r="J27" s="158">
        <v>1940.5265320000001</v>
      </c>
      <c r="K27" s="158">
        <v>1995.4885159999999</v>
      </c>
      <c r="L27" s="158">
        <v>2896.8248060000001</v>
      </c>
      <c r="M27" s="158">
        <v>3068.1253649999999</v>
      </c>
      <c r="N27" s="158">
        <f t="shared" si="3"/>
        <v>21472.362549417012</v>
      </c>
    </row>
    <row r="28" spans="1:14">
      <c r="A28" s="304" t="s">
        <v>589</v>
      </c>
      <c r="B28" s="158"/>
      <c r="C28" s="158"/>
      <c r="D28" s="158">
        <v>2043.5877256123597</v>
      </c>
      <c r="E28" s="158">
        <v>1594.676784</v>
      </c>
      <c r="F28" s="158">
        <v>1525.7709970000001</v>
      </c>
      <c r="G28" s="158">
        <v>1722.6222150000001</v>
      </c>
      <c r="H28" s="158">
        <v>1987.4331629999999</v>
      </c>
      <c r="I28" s="158">
        <v>2166.3818999999999</v>
      </c>
      <c r="J28" s="158">
        <v>2090.4763090000001</v>
      </c>
      <c r="K28" s="158">
        <v>2171.0963660000002</v>
      </c>
      <c r="L28" s="158">
        <v>3151.752446</v>
      </c>
      <c r="M28" s="158">
        <v>3591.0586060000001</v>
      </c>
      <c r="N28" s="158">
        <f t="shared" si="3"/>
        <v>22044.856511612357</v>
      </c>
    </row>
    <row r="29" spans="1:14">
      <c r="A29" s="304" t="s">
        <v>590</v>
      </c>
      <c r="B29" s="158"/>
      <c r="C29" s="158"/>
      <c r="D29" s="158">
        <v>0</v>
      </c>
      <c r="E29" s="158"/>
      <c r="F29" s="158"/>
      <c r="G29" s="158"/>
      <c r="H29" s="158"/>
      <c r="I29" s="158"/>
      <c r="J29" s="158"/>
      <c r="K29" s="158"/>
      <c r="L29" s="158"/>
      <c r="M29" s="158"/>
      <c r="N29" s="158">
        <f t="shared" si="3"/>
        <v>0</v>
      </c>
    </row>
    <row r="30" spans="1:14">
      <c r="A30" s="312" t="s">
        <v>430</v>
      </c>
      <c r="B30" s="164">
        <f>SUM(B23:B29)</f>
        <v>0</v>
      </c>
      <c r="C30" s="164">
        <f t="shared" ref="C30:N30" si="4">SUM(C23:C29)</f>
        <v>0</v>
      </c>
      <c r="D30" s="164">
        <f t="shared" si="4"/>
        <v>95856.15822803539</v>
      </c>
      <c r="E30" s="164">
        <f t="shared" si="4"/>
        <v>90611.591701199999</v>
      </c>
      <c r="F30" s="164">
        <f t="shared" si="4"/>
        <v>93509.916405099997</v>
      </c>
      <c r="G30" s="164">
        <f t="shared" si="4"/>
        <v>104933.47202199999</v>
      </c>
      <c r="H30" s="164">
        <f t="shared" si="4"/>
        <v>109334.48448369998</v>
      </c>
      <c r="I30" s="164">
        <f t="shared" si="4"/>
        <v>110478.46633299999</v>
      </c>
      <c r="J30" s="164">
        <f t="shared" si="4"/>
        <v>106876.94888800001</v>
      </c>
      <c r="K30" s="164">
        <f t="shared" si="4"/>
        <v>110440.72914699999</v>
      </c>
      <c r="L30" s="164">
        <f t="shared" si="4"/>
        <v>162751.15667799997</v>
      </c>
      <c r="M30" s="164">
        <f t="shared" si="4"/>
        <v>173326.19891000001</v>
      </c>
      <c r="N30" s="164">
        <f t="shared" si="4"/>
        <v>1158119.1227960356</v>
      </c>
    </row>
    <row r="31" spans="1:14">
      <c r="A31" s="313" t="s">
        <v>431</v>
      </c>
      <c r="B31" s="314">
        <f>+B22-B30</f>
        <v>0</v>
      </c>
      <c r="C31" s="314">
        <f t="shared" ref="C31:N31" si="5">+C22-C30</f>
        <v>0</v>
      </c>
      <c r="D31" s="314">
        <f t="shared" si="5"/>
        <v>336704.66108979716</v>
      </c>
      <c r="E31" s="314">
        <f t="shared" si="5"/>
        <v>322410.10829880001</v>
      </c>
      <c r="F31" s="314">
        <f t="shared" si="5"/>
        <v>333279.17362489994</v>
      </c>
      <c r="G31" s="314">
        <f t="shared" si="5"/>
        <v>376918.89594099997</v>
      </c>
      <c r="H31" s="314">
        <f t="shared" si="5"/>
        <v>393813.15158330009</v>
      </c>
      <c r="I31" s="314">
        <f t="shared" si="5"/>
        <v>396063.74587400007</v>
      </c>
      <c r="J31" s="314">
        <f t="shared" si="5"/>
        <v>383155.00354600011</v>
      </c>
      <c r="K31" s="314">
        <f t="shared" si="5"/>
        <v>395925.62173900002</v>
      </c>
      <c r="L31" s="314">
        <f t="shared" si="5"/>
        <v>572334.30975599983</v>
      </c>
      <c r="M31" s="314">
        <f t="shared" si="5"/>
        <v>609039.05082999996</v>
      </c>
      <c r="N31" s="314">
        <f t="shared" si="5"/>
        <v>4119643.7222827971</v>
      </c>
    </row>
    <row r="32" spans="1:14">
      <c r="A32" s="304" t="s">
        <v>432</v>
      </c>
      <c r="B32" s="158"/>
      <c r="C32" s="158"/>
      <c r="D32" s="158"/>
      <c r="E32" s="158"/>
      <c r="F32" s="158"/>
      <c r="G32" s="158"/>
      <c r="H32" s="158"/>
      <c r="I32" s="158"/>
      <c r="J32" s="158"/>
      <c r="K32" s="158"/>
      <c r="L32" s="158"/>
      <c r="M32" s="158"/>
      <c r="N32" s="158">
        <f t="shared" ref="N32:N95" si="6">+SUM(B32:M32)</f>
        <v>0</v>
      </c>
    </row>
    <row r="33" spans="1:14">
      <c r="A33" s="304" t="s">
        <v>790</v>
      </c>
      <c r="B33" s="158"/>
      <c r="C33" s="158"/>
      <c r="D33" s="158">
        <v>39463</v>
      </c>
      <c r="E33" s="128">
        <v>19479.45205</v>
      </c>
      <c r="F33" s="128">
        <v>20128.76712</v>
      </c>
      <c r="G33" s="128">
        <v>32219.178080000002</v>
      </c>
      <c r="H33" s="128">
        <v>33293.150679999999</v>
      </c>
      <c r="I33" s="128">
        <v>33293.150679999999</v>
      </c>
      <c r="J33" s="128">
        <v>32219.178080000002</v>
      </c>
      <c r="K33" s="128">
        <v>33293.150679999999</v>
      </c>
      <c r="L33" s="128">
        <v>38219.178079999998</v>
      </c>
      <c r="M33" s="128">
        <v>39493.150679999999</v>
      </c>
      <c r="N33" s="158">
        <f t="shared" si="6"/>
        <v>321101.35613000003</v>
      </c>
    </row>
    <row r="34" spans="1:14">
      <c r="A34" s="304" t="s">
        <v>591</v>
      </c>
      <c r="B34" s="158"/>
      <c r="C34" s="158"/>
      <c r="D34" s="158">
        <v>47575.587262933237</v>
      </c>
      <c r="E34" s="128">
        <v>47497.495499999997</v>
      </c>
      <c r="F34" s="128">
        <v>49080.745349999997</v>
      </c>
      <c r="G34" s="128">
        <v>53003.760470000001</v>
      </c>
      <c r="H34" s="128">
        <v>58365.125789999998</v>
      </c>
      <c r="I34" s="128">
        <v>58758.955379999999</v>
      </c>
      <c r="J34" s="128">
        <v>56843.706489999997</v>
      </c>
      <c r="K34" s="128">
        <v>60257.59575</v>
      </c>
      <c r="L34" s="128">
        <v>87475.170499999993</v>
      </c>
      <c r="M34" s="128">
        <v>89972.056570000001</v>
      </c>
      <c r="N34" s="158">
        <f t="shared" si="6"/>
        <v>608830.19906293321</v>
      </c>
    </row>
    <row r="35" spans="1:14">
      <c r="A35" s="304" t="s">
        <v>592</v>
      </c>
      <c r="B35" s="158"/>
      <c r="C35" s="158"/>
      <c r="D35" s="158">
        <v>3000</v>
      </c>
      <c r="E35" s="128">
        <v>2400</v>
      </c>
      <c r="F35" s="128">
        <v>2400</v>
      </c>
      <c r="G35" s="128">
        <v>3000</v>
      </c>
      <c r="H35" s="128">
        <v>2400</v>
      </c>
      <c r="I35" s="128">
        <v>2400</v>
      </c>
      <c r="J35" s="128">
        <v>3000</v>
      </c>
      <c r="K35" s="128">
        <v>3000</v>
      </c>
      <c r="L35" s="128">
        <v>2400</v>
      </c>
      <c r="M35" s="128">
        <v>2400</v>
      </c>
      <c r="N35" s="158">
        <f t="shared" si="6"/>
        <v>26400</v>
      </c>
    </row>
    <row r="36" spans="1:14">
      <c r="A36" s="304" t="s">
        <v>791</v>
      </c>
      <c r="B36" s="158"/>
      <c r="C36" s="158"/>
      <c r="D36" s="158">
        <v>40652.349726775959</v>
      </c>
      <c r="E36" s="128">
        <v>24016.39344</v>
      </c>
      <c r="F36" s="128">
        <v>24816.939890000001</v>
      </c>
      <c r="G36" s="128">
        <v>24016.39344</v>
      </c>
      <c r="H36" s="128">
        <v>24816.939890000001</v>
      </c>
      <c r="I36" s="128">
        <v>24816.939890000001</v>
      </c>
      <c r="J36" s="128">
        <v>24016.39344</v>
      </c>
      <c r="K36" s="128">
        <v>24816.939890000001</v>
      </c>
      <c r="L36" s="128">
        <v>41065.573770000003</v>
      </c>
      <c r="M36" s="128">
        <v>42434.426229999997</v>
      </c>
      <c r="N36" s="158">
        <f t="shared" si="6"/>
        <v>295469.28960677597</v>
      </c>
    </row>
    <row r="37" spans="1:14">
      <c r="A37" s="304" t="s">
        <v>593</v>
      </c>
      <c r="B37" s="158"/>
      <c r="C37" s="158"/>
      <c r="D37" s="158">
        <v>2000</v>
      </c>
      <c r="E37" s="128">
        <v>1600</v>
      </c>
      <c r="F37" s="128">
        <v>1600</v>
      </c>
      <c r="G37" s="128">
        <v>2000</v>
      </c>
      <c r="H37" s="128">
        <v>1600</v>
      </c>
      <c r="I37" s="128">
        <v>1600</v>
      </c>
      <c r="J37" s="128">
        <v>2000</v>
      </c>
      <c r="K37" s="128">
        <v>2000</v>
      </c>
      <c r="L37" s="128">
        <v>1600</v>
      </c>
      <c r="M37" s="128">
        <v>1600</v>
      </c>
      <c r="N37" s="158">
        <f t="shared" si="6"/>
        <v>17600</v>
      </c>
    </row>
    <row r="38" spans="1:14">
      <c r="A38" s="304" t="s">
        <v>594</v>
      </c>
      <c r="B38" s="158"/>
      <c r="C38" s="158"/>
      <c r="D38" s="158">
        <v>43250.533875393856</v>
      </c>
      <c r="E38" s="128">
        <v>61953.254999999997</v>
      </c>
      <c r="F38" s="128">
        <v>64018.363499999999</v>
      </c>
      <c r="G38" s="128">
        <v>65050.069669999997</v>
      </c>
      <c r="H38" s="128">
        <v>70943.816690000007</v>
      </c>
      <c r="I38" s="128">
        <v>71422.523350000003</v>
      </c>
      <c r="J38" s="128">
        <v>70564.601150000002</v>
      </c>
      <c r="K38" s="128">
        <v>72916.754530000006</v>
      </c>
      <c r="L38" s="128">
        <v>105852.3072</v>
      </c>
      <c r="M38" s="128">
        <v>112660.6621</v>
      </c>
      <c r="N38" s="158">
        <f t="shared" si="6"/>
        <v>738632.88706539397</v>
      </c>
    </row>
    <row r="39" spans="1:14">
      <c r="A39" s="304" t="s">
        <v>260</v>
      </c>
      <c r="B39" s="158"/>
      <c r="C39" s="158"/>
      <c r="D39" s="158">
        <v>1500</v>
      </c>
      <c r="E39" s="128">
        <v>1200</v>
      </c>
      <c r="F39" s="128">
        <v>1200</v>
      </c>
      <c r="G39" s="128">
        <v>1200</v>
      </c>
      <c r="H39" s="128">
        <v>1200</v>
      </c>
      <c r="I39" s="128">
        <v>1200</v>
      </c>
      <c r="J39" s="128">
        <v>1200</v>
      </c>
      <c r="K39" s="128">
        <v>1200</v>
      </c>
      <c r="L39" s="128">
        <v>1200</v>
      </c>
      <c r="M39" s="128">
        <v>1200</v>
      </c>
      <c r="N39" s="158">
        <f t="shared" si="6"/>
        <v>12300</v>
      </c>
    </row>
    <row r="40" spans="1:14">
      <c r="A40" s="304" t="s">
        <v>261</v>
      </c>
      <c r="B40" s="158"/>
      <c r="C40" s="158"/>
      <c r="D40" s="158">
        <v>0</v>
      </c>
      <c r="E40" s="158"/>
      <c r="F40" s="158"/>
      <c r="G40" s="158"/>
      <c r="H40" s="158"/>
      <c r="I40" s="158"/>
      <c r="J40" s="158"/>
      <c r="K40" s="158"/>
      <c r="L40" s="158"/>
      <c r="M40" s="167"/>
      <c r="N40" s="158">
        <f t="shared" si="6"/>
        <v>0</v>
      </c>
    </row>
    <row r="41" spans="1:14">
      <c r="A41" s="304" t="s">
        <v>443</v>
      </c>
      <c r="B41" s="158"/>
      <c r="C41" s="158"/>
      <c r="D41" s="158">
        <v>1081.2633468848462</v>
      </c>
      <c r="E41" s="128">
        <v>1032.5542499999999</v>
      </c>
      <c r="F41" s="128">
        <v>1066.9727250000001</v>
      </c>
      <c r="G41" s="128">
        <v>1204.6309200000001</v>
      </c>
      <c r="H41" s="128">
        <v>1257.8690899999999</v>
      </c>
      <c r="I41" s="128">
        <v>1266.3567969999999</v>
      </c>
      <c r="J41" s="128">
        <v>1225.0798809999999</v>
      </c>
      <c r="K41" s="128">
        <v>1265.9158769999999</v>
      </c>
      <c r="L41" s="128">
        <v>1837.7136660000001</v>
      </c>
      <c r="M41" s="128">
        <v>1955.9142730000001</v>
      </c>
      <c r="N41" s="158">
        <f t="shared" si="6"/>
        <v>13194.270825884845</v>
      </c>
    </row>
    <row r="42" spans="1:14">
      <c r="A42" s="304" t="s">
        <v>444</v>
      </c>
      <c r="B42" s="158"/>
      <c r="C42" s="158"/>
      <c r="D42" s="158"/>
      <c r="E42" s="158"/>
      <c r="F42" s="158"/>
      <c r="G42" s="158"/>
      <c r="H42" s="158"/>
      <c r="I42" s="158"/>
      <c r="J42" s="158"/>
      <c r="K42" s="158"/>
      <c r="L42" s="158"/>
      <c r="M42" s="167"/>
      <c r="N42" s="158">
        <f t="shared" si="6"/>
        <v>0</v>
      </c>
    </row>
    <row r="43" spans="1:14">
      <c r="A43" s="304" t="s">
        <v>263</v>
      </c>
      <c r="B43" s="158"/>
      <c r="C43" s="158"/>
      <c r="D43" s="158">
        <v>375</v>
      </c>
      <c r="E43" s="158"/>
      <c r="F43" s="158"/>
      <c r="G43" s="158"/>
      <c r="H43" s="158"/>
      <c r="I43" s="158"/>
      <c r="J43" s="158"/>
      <c r="K43" s="158"/>
      <c r="L43" s="158"/>
      <c r="M43" s="128">
        <v>4173.5655740000002</v>
      </c>
      <c r="N43" s="158">
        <f t="shared" si="6"/>
        <v>4548.5655740000002</v>
      </c>
    </row>
    <row r="44" spans="1:14">
      <c r="A44" s="70" t="s">
        <v>450</v>
      </c>
      <c r="B44" s="158"/>
      <c r="C44" s="158"/>
      <c r="D44" s="158"/>
      <c r="E44" s="158"/>
      <c r="F44" s="158"/>
      <c r="G44" s="158"/>
      <c r="H44" s="158"/>
      <c r="I44" s="158"/>
      <c r="J44" s="158"/>
      <c r="K44" s="158"/>
      <c r="L44" s="158"/>
      <c r="M44" s="158"/>
      <c r="N44" s="158">
        <f t="shared" si="6"/>
        <v>0</v>
      </c>
    </row>
    <row r="45" spans="1:14">
      <c r="A45" s="130" t="s">
        <v>58</v>
      </c>
      <c r="B45" s="158"/>
      <c r="C45" s="158"/>
      <c r="D45" s="158">
        <v>22490.277615204803</v>
      </c>
      <c r="E45" s="158">
        <v>18585.976500000001</v>
      </c>
      <c r="F45" s="158">
        <v>19205.509050000001</v>
      </c>
      <c r="G45" s="158">
        <v>21683.35656</v>
      </c>
      <c r="H45" s="158">
        <v>22641.643629999999</v>
      </c>
      <c r="I45" s="158">
        <v>22794.422350000001</v>
      </c>
      <c r="J45" s="158">
        <v>22051.437859999998</v>
      </c>
      <c r="K45" s="158">
        <v>22786.485789999999</v>
      </c>
      <c r="L45" s="158">
        <v>33078.845990000002</v>
      </c>
      <c r="M45" s="167">
        <v>35206.456919999997</v>
      </c>
      <c r="N45" s="158">
        <f t="shared" si="6"/>
        <v>240524.41226520482</v>
      </c>
    </row>
    <row r="46" spans="1:14">
      <c r="A46" s="304" t="s">
        <v>595</v>
      </c>
      <c r="B46" s="158"/>
      <c r="C46" s="158"/>
      <c r="D46" s="158">
        <v>10286.619717189304</v>
      </c>
      <c r="E46" s="158">
        <v>9152.8011389999992</v>
      </c>
      <c r="F46" s="158">
        <v>9447.9278439999998</v>
      </c>
      <c r="G46" s="158">
        <v>10447.406870000001</v>
      </c>
      <c r="H46" s="158">
        <v>11147.92187</v>
      </c>
      <c r="I46" s="158">
        <v>11198.580749999999</v>
      </c>
      <c r="J46" s="158">
        <v>10986.46515</v>
      </c>
      <c r="K46" s="158">
        <v>11428.14551</v>
      </c>
      <c r="L46" s="158">
        <v>16079.871730000001</v>
      </c>
      <c r="M46" s="167">
        <v>17013.662090000002</v>
      </c>
      <c r="N46" s="158">
        <f t="shared" si="6"/>
        <v>117189.4026701893</v>
      </c>
    </row>
    <row r="47" spans="1:14">
      <c r="A47" s="304" t="s">
        <v>596</v>
      </c>
      <c r="B47" s="158"/>
      <c r="C47" s="158"/>
      <c r="D47" s="158">
        <v>5622.5694038012007</v>
      </c>
      <c r="E47" s="158">
        <v>6195.3254999999999</v>
      </c>
      <c r="F47" s="158">
        <v>6401.8363499999996</v>
      </c>
      <c r="G47" s="158">
        <v>12046.3092</v>
      </c>
      <c r="H47" s="158">
        <v>12578.6909</v>
      </c>
      <c r="I47" s="158">
        <v>12663.56797</v>
      </c>
      <c r="J47" s="158">
        <v>12250.79881</v>
      </c>
      <c r="K47" s="158">
        <v>12659.15877</v>
      </c>
      <c r="L47" s="158">
        <v>18377.13666</v>
      </c>
      <c r="M47" s="167">
        <v>19559.14273</v>
      </c>
      <c r="N47" s="158">
        <f t="shared" si="6"/>
        <v>118354.53629380118</v>
      </c>
    </row>
    <row r="48" spans="1:14">
      <c r="A48" s="304" t="s">
        <v>597</v>
      </c>
      <c r="B48" s="158"/>
      <c r="C48" s="158"/>
      <c r="D48" s="158">
        <v>350</v>
      </c>
      <c r="E48" s="158">
        <v>350</v>
      </c>
      <c r="F48" s="158">
        <v>350</v>
      </c>
      <c r="G48" s="158">
        <v>350</v>
      </c>
      <c r="H48" s="158">
        <v>350</v>
      </c>
      <c r="I48" s="158">
        <v>350</v>
      </c>
      <c r="J48" s="158">
        <v>350</v>
      </c>
      <c r="K48" s="158">
        <v>350</v>
      </c>
      <c r="L48" s="158">
        <v>350</v>
      </c>
      <c r="M48" s="167">
        <v>350</v>
      </c>
      <c r="N48" s="158">
        <f t="shared" si="6"/>
        <v>3500</v>
      </c>
    </row>
    <row r="49" spans="1:14">
      <c r="A49" s="304" t="s">
        <v>598</v>
      </c>
      <c r="B49" s="158"/>
      <c r="C49" s="158"/>
      <c r="D49" s="158">
        <v>200</v>
      </c>
      <c r="E49" s="128">
        <v>200</v>
      </c>
      <c r="F49" s="128">
        <v>200</v>
      </c>
      <c r="G49" s="128">
        <v>200</v>
      </c>
      <c r="H49" s="128">
        <v>200</v>
      </c>
      <c r="I49" s="128">
        <v>200</v>
      </c>
      <c r="J49" s="128">
        <v>200</v>
      </c>
      <c r="K49" s="128">
        <v>200</v>
      </c>
      <c r="L49" s="128">
        <v>200</v>
      </c>
      <c r="M49" s="128">
        <v>200</v>
      </c>
      <c r="N49" s="158">
        <f t="shared" si="6"/>
        <v>2000</v>
      </c>
    </row>
    <row r="50" spans="1:14">
      <c r="A50" s="304" t="s">
        <v>599</v>
      </c>
      <c r="B50" s="158"/>
      <c r="C50" s="158"/>
      <c r="D50" s="158"/>
      <c r="E50" s="158"/>
      <c r="F50" s="158"/>
      <c r="G50" s="158"/>
      <c r="H50" s="158"/>
      <c r="I50" s="158"/>
      <c r="J50" s="158"/>
      <c r="K50" s="158"/>
      <c r="L50" s="158"/>
      <c r="M50" s="167"/>
      <c r="N50" s="158">
        <f t="shared" si="6"/>
        <v>0</v>
      </c>
    </row>
    <row r="51" spans="1:14">
      <c r="A51" s="304" t="s">
        <v>600</v>
      </c>
      <c r="B51" s="158"/>
      <c r="C51" s="158"/>
      <c r="D51" s="158"/>
      <c r="E51" s="158"/>
      <c r="F51" s="158"/>
      <c r="G51" s="158"/>
      <c r="H51" s="158"/>
      <c r="I51" s="158"/>
      <c r="J51" s="158"/>
      <c r="K51" s="158"/>
      <c r="L51" s="158"/>
      <c r="M51" s="167"/>
      <c r="N51" s="158">
        <f t="shared" si="6"/>
        <v>0</v>
      </c>
    </row>
    <row r="52" spans="1:14">
      <c r="A52" s="304" t="s">
        <v>601</v>
      </c>
      <c r="B52" s="158"/>
      <c r="C52" s="158"/>
      <c r="D52" s="158"/>
      <c r="E52" s="158"/>
      <c r="F52" s="158"/>
      <c r="G52" s="158"/>
      <c r="H52" s="158"/>
      <c r="I52" s="158"/>
      <c r="J52" s="158"/>
      <c r="K52" s="158"/>
      <c r="L52" s="158"/>
      <c r="M52" s="158"/>
      <c r="N52" s="158">
        <f t="shared" si="6"/>
        <v>0</v>
      </c>
    </row>
    <row r="53" spans="1:14">
      <c r="A53" s="73" t="s">
        <v>603</v>
      </c>
      <c r="B53" s="158"/>
      <c r="C53" s="158"/>
      <c r="D53" s="158">
        <v>1297.5160162618156</v>
      </c>
      <c r="E53" s="128">
        <v>0</v>
      </c>
      <c r="F53" s="128">
        <v>0</v>
      </c>
      <c r="G53" s="128">
        <v>400</v>
      </c>
      <c r="H53" s="128">
        <v>400</v>
      </c>
      <c r="I53" s="128">
        <v>400</v>
      </c>
      <c r="J53" s="128">
        <v>400</v>
      </c>
      <c r="K53" s="128">
        <v>400</v>
      </c>
      <c r="L53" s="128">
        <v>400</v>
      </c>
      <c r="M53" s="128">
        <v>400</v>
      </c>
      <c r="N53" s="158">
        <f t="shared" si="6"/>
        <v>4097.5160162618158</v>
      </c>
    </row>
    <row r="54" spans="1:14">
      <c r="A54" s="73" t="s">
        <v>604</v>
      </c>
      <c r="B54" s="158"/>
      <c r="C54" s="158"/>
      <c r="D54" s="158">
        <v>4000</v>
      </c>
      <c r="E54" s="128">
        <v>0</v>
      </c>
      <c r="F54" s="128">
        <v>0</v>
      </c>
      <c r="G54" s="128">
        <v>4000</v>
      </c>
      <c r="H54" s="128">
        <v>4000</v>
      </c>
      <c r="I54" s="128">
        <v>4000</v>
      </c>
      <c r="J54" s="128">
        <v>4000</v>
      </c>
      <c r="K54" s="128">
        <v>4000</v>
      </c>
      <c r="L54" s="128">
        <v>4000</v>
      </c>
      <c r="M54" s="128">
        <v>4000</v>
      </c>
      <c r="N54" s="158">
        <f t="shared" si="6"/>
        <v>32000</v>
      </c>
    </row>
    <row r="55" spans="1:14">
      <c r="A55" s="304" t="s">
        <v>613</v>
      </c>
      <c r="B55" s="158"/>
      <c r="C55" s="158"/>
      <c r="D55" s="158">
        <v>0</v>
      </c>
      <c r="E55" s="158"/>
      <c r="F55" s="158"/>
      <c r="G55" s="158"/>
      <c r="H55" s="158"/>
      <c r="I55" s="158"/>
      <c r="J55" s="158"/>
      <c r="K55" s="158"/>
      <c r="L55" s="158"/>
      <c r="M55" s="167"/>
      <c r="N55" s="158">
        <f t="shared" si="6"/>
        <v>0</v>
      </c>
    </row>
    <row r="56" spans="1:14">
      <c r="A56" s="130" t="s">
        <v>605</v>
      </c>
      <c r="B56" s="158"/>
      <c r="C56" s="158"/>
      <c r="D56" s="158">
        <v>216.25266937696927</v>
      </c>
      <c r="E56" s="128">
        <v>206.51085</v>
      </c>
      <c r="F56" s="128">
        <v>213.39454499999999</v>
      </c>
      <c r="G56" s="128">
        <v>240.92618400000001</v>
      </c>
      <c r="H56" s="128">
        <v>251.57381810000001</v>
      </c>
      <c r="I56" s="128">
        <v>253.27135939999999</v>
      </c>
      <c r="J56" s="128">
        <v>245.01597620000001</v>
      </c>
      <c r="K56" s="128">
        <v>253.18317540000001</v>
      </c>
      <c r="L56" s="128">
        <v>367.54273319999999</v>
      </c>
      <c r="M56" s="128">
        <v>391.18285459999998</v>
      </c>
      <c r="N56" s="158">
        <f t="shared" si="6"/>
        <v>2638.8541652769695</v>
      </c>
    </row>
    <row r="57" spans="1:14">
      <c r="A57" s="304" t="s">
        <v>606</v>
      </c>
      <c r="B57" s="158"/>
      <c r="C57" s="158"/>
      <c r="D57" s="158">
        <v>432.50533875393853</v>
      </c>
      <c r="E57" s="128">
        <v>413.02170000000001</v>
      </c>
      <c r="F57" s="128">
        <v>426.78908999999999</v>
      </c>
      <c r="G57" s="128">
        <v>481.85236789999999</v>
      </c>
      <c r="H57" s="128">
        <v>503.1476361</v>
      </c>
      <c r="I57" s="128">
        <v>506.54271879999999</v>
      </c>
      <c r="J57" s="128">
        <v>490.03195249999999</v>
      </c>
      <c r="K57" s="128">
        <v>506.36635089999999</v>
      </c>
      <c r="L57" s="128">
        <v>735.08546639999997</v>
      </c>
      <c r="M57" s="128">
        <v>782.36570930000005</v>
      </c>
      <c r="N57" s="158">
        <f t="shared" si="6"/>
        <v>5277.708330653938</v>
      </c>
    </row>
    <row r="58" spans="1:14">
      <c r="A58" s="304" t="s">
        <v>607</v>
      </c>
      <c r="B58" s="158"/>
      <c r="C58" s="158"/>
      <c r="D58" s="158">
        <v>0</v>
      </c>
      <c r="E58" s="158"/>
      <c r="F58" s="158"/>
      <c r="G58" s="158"/>
      <c r="H58" s="158"/>
      <c r="I58" s="158"/>
      <c r="J58" s="158"/>
      <c r="K58" s="158"/>
      <c r="L58" s="158"/>
      <c r="M58" s="167"/>
      <c r="N58" s="158">
        <f t="shared" si="6"/>
        <v>0</v>
      </c>
    </row>
    <row r="59" spans="1:14">
      <c r="A59" s="148" t="s">
        <v>608</v>
      </c>
      <c r="B59" s="158"/>
      <c r="C59" s="158"/>
      <c r="D59" s="158">
        <v>1297.5160162618156</v>
      </c>
      <c r="E59" s="128">
        <v>14455.7595</v>
      </c>
      <c r="F59" s="128">
        <v>14937.61815</v>
      </c>
      <c r="G59" s="128">
        <v>17828.537609999999</v>
      </c>
      <c r="H59" s="128">
        <v>18616.46254</v>
      </c>
      <c r="I59" s="128">
        <v>18742.080600000001</v>
      </c>
      <c r="J59" s="128">
        <v>18131.182239999998</v>
      </c>
      <c r="K59" s="128">
        <v>18735.554980000001</v>
      </c>
      <c r="L59" s="128">
        <v>27198.162260000001</v>
      </c>
      <c r="M59" s="128">
        <v>28947.53124</v>
      </c>
      <c r="N59" s="158">
        <f t="shared" si="6"/>
        <v>178890.40513626183</v>
      </c>
    </row>
    <row r="60" spans="1:14">
      <c r="A60" s="148" t="s">
        <v>609</v>
      </c>
      <c r="B60" s="158"/>
      <c r="C60" s="158"/>
      <c r="D60" s="158">
        <v>0</v>
      </c>
      <c r="E60" s="158"/>
      <c r="F60" s="158"/>
      <c r="G60" s="158"/>
      <c r="H60" s="158"/>
      <c r="I60" s="158"/>
      <c r="J60" s="158"/>
      <c r="K60" s="158"/>
      <c r="L60" s="158"/>
      <c r="M60" s="167"/>
      <c r="N60" s="158">
        <f t="shared" si="6"/>
        <v>0</v>
      </c>
    </row>
    <row r="61" spans="1:14">
      <c r="A61" s="148" t="s">
        <v>610</v>
      </c>
      <c r="B61" s="158"/>
      <c r="C61" s="158"/>
      <c r="D61" s="158">
        <v>1650</v>
      </c>
      <c r="E61" s="128">
        <v>1650</v>
      </c>
      <c r="F61" s="128">
        <v>1500</v>
      </c>
      <c r="G61" s="128">
        <v>1500</v>
      </c>
      <c r="H61" s="128">
        <v>1500</v>
      </c>
      <c r="I61" s="128">
        <v>1650</v>
      </c>
      <c r="J61" s="128">
        <v>1650</v>
      </c>
      <c r="K61" s="128">
        <v>1650</v>
      </c>
      <c r="L61" s="128">
        <v>1650</v>
      </c>
      <c r="M61" s="128">
        <v>1650</v>
      </c>
      <c r="N61" s="158">
        <f t="shared" si="6"/>
        <v>16050</v>
      </c>
    </row>
    <row r="62" spans="1:14">
      <c r="A62" s="148" t="s">
        <v>611</v>
      </c>
      <c r="B62" s="158"/>
      <c r="C62" s="158"/>
      <c r="D62" s="158">
        <v>500</v>
      </c>
      <c r="E62" s="128">
        <v>0</v>
      </c>
      <c r="F62" s="128">
        <v>500</v>
      </c>
      <c r="G62" s="128">
        <v>500</v>
      </c>
      <c r="H62" s="128">
        <v>500</v>
      </c>
      <c r="I62" s="128">
        <v>500</v>
      </c>
      <c r="J62" s="128">
        <v>500</v>
      </c>
      <c r="K62" s="128">
        <v>500</v>
      </c>
      <c r="L62" s="128">
        <v>500</v>
      </c>
      <c r="M62" s="128">
        <v>500</v>
      </c>
      <c r="N62" s="158">
        <f t="shared" si="6"/>
        <v>4500</v>
      </c>
    </row>
    <row r="63" spans="1:14">
      <c r="A63" s="148" t="s">
        <v>612</v>
      </c>
      <c r="B63" s="158"/>
      <c r="C63" s="158"/>
      <c r="D63" s="158">
        <v>2162.5266937696924</v>
      </c>
      <c r="E63" s="128">
        <v>1239.0651</v>
      </c>
      <c r="F63" s="128">
        <v>1280.36727</v>
      </c>
      <c r="G63" s="128">
        <v>1445.557104</v>
      </c>
      <c r="H63" s="128">
        <v>1509.442908</v>
      </c>
      <c r="I63" s="128">
        <v>1519.628156</v>
      </c>
      <c r="J63" s="128">
        <v>1470.095857</v>
      </c>
      <c r="K63" s="128">
        <v>1519.0990529999999</v>
      </c>
      <c r="L63" s="128">
        <v>2205.2563989999999</v>
      </c>
      <c r="M63" s="128">
        <v>2347.0971279999999</v>
      </c>
      <c r="N63" s="158">
        <f t="shared" si="6"/>
        <v>16698.135668769693</v>
      </c>
    </row>
    <row r="64" spans="1:14">
      <c r="A64" s="148" t="s">
        <v>614</v>
      </c>
      <c r="B64" s="158"/>
      <c r="C64" s="158"/>
      <c r="D64" s="158">
        <v>700</v>
      </c>
      <c r="E64" s="128">
        <v>0</v>
      </c>
      <c r="F64" s="128">
        <v>350</v>
      </c>
      <c r="G64" s="128">
        <v>350</v>
      </c>
      <c r="H64" s="128">
        <v>350</v>
      </c>
      <c r="I64" s="128">
        <v>350</v>
      </c>
      <c r="J64" s="128">
        <v>350</v>
      </c>
      <c r="K64" s="128">
        <v>350</v>
      </c>
      <c r="L64" s="128">
        <v>350</v>
      </c>
      <c r="M64" s="128">
        <v>350</v>
      </c>
      <c r="N64" s="158">
        <f t="shared" si="6"/>
        <v>3500</v>
      </c>
    </row>
    <row r="65" spans="1:14">
      <c r="A65" s="148" t="s">
        <v>615</v>
      </c>
      <c r="B65" s="158"/>
      <c r="C65" s="158"/>
      <c r="D65" s="158">
        <v>86.501067750787698</v>
      </c>
      <c r="E65" s="128">
        <v>82.604339999999993</v>
      </c>
      <c r="F65" s="128">
        <v>85.357817999999995</v>
      </c>
      <c r="G65" s="128">
        <v>96.370473590000003</v>
      </c>
      <c r="H65" s="128">
        <v>100.6295272</v>
      </c>
      <c r="I65" s="128">
        <v>101.3085438</v>
      </c>
      <c r="J65" s="128">
        <v>98.006390490000001</v>
      </c>
      <c r="K65" s="128">
        <v>101.2732702</v>
      </c>
      <c r="L65" s="128">
        <v>147.0170933</v>
      </c>
      <c r="M65" s="128">
        <v>156.4731419</v>
      </c>
      <c r="N65" s="158">
        <f t="shared" si="6"/>
        <v>1055.5416662307878</v>
      </c>
    </row>
    <row r="66" spans="1:14">
      <c r="A66" s="304" t="s">
        <v>616</v>
      </c>
      <c r="B66" s="158"/>
      <c r="C66" s="158"/>
      <c r="D66" s="158">
        <v>0</v>
      </c>
      <c r="E66" s="158"/>
      <c r="F66" s="158"/>
      <c r="G66" s="158"/>
      <c r="H66" s="158"/>
      <c r="I66" s="158"/>
      <c r="J66" s="158"/>
      <c r="K66" s="158"/>
      <c r="L66" s="158"/>
      <c r="M66" s="167"/>
      <c r="N66" s="158">
        <f t="shared" si="6"/>
        <v>0</v>
      </c>
    </row>
    <row r="67" spans="1:14">
      <c r="A67" s="304" t="s">
        <v>617</v>
      </c>
      <c r="B67" s="158"/>
      <c r="C67" s="158"/>
      <c r="D67" s="158">
        <v>0</v>
      </c>
      <c r="E67" s="158"/>
      <c r="F67" s="158"/>
      <c r="G67" s="158"/>
      <c r="H67" s="158"/>
      <c r="I67" s="158"/>
      <c r="J67" s="158"/>
      <c r="K67" s="158"/>
      <c r="L67" s="158"/>
      <c r="M67" s="167"/>
      <c r="N67" s="158">
        <f t="shared" si="6"/>
        <v>0</v>
      </c>
    </row>
    <row r="68" spans="1:14">
      <c r="A68" s="304" t="s">
        <v>618</v>
      </c>
      <c r="B68" s="158"/>
      <c r="C68" s="158"/>
      <c r="D68" s="158">
        <v>432.50533875393853</v>
      </c>
      <c r="E68" s="128">
        <v>413.02170000000001</v>
      </c>
      <c r="F68" s="128">
        <v>426.78908999999999</v>
      </c>
      <c r="G68" s="128">
        <v>481.85236789999999</v>
      </c>
      <c r="H68" s="128">
        <v>503.1476361</v>
      </c>
      <c r="I68" s="128">
        <v>506.54271879999999</v>
      </c>
      <c r="J68" s="128">
        <v>490.03195249999999</v>
      </c>
      <c r="K68" s="128">
        <v>506.36635089999999</v>
      </c>
      <c r="L68" s="128">
        <v>735.08546639999997</v>
      </c>
      <c r="M68" s="128">
        <v>782.36570930000005</v>
      </c>
      <c r="N68" s="158">
        <f t="shared" si="6"/>
        <v>5277.708330653938</v>
      </c>
    </row>
    <row r="69" spans="1:14">
      <c r="A69" s="149" t="s">
        <v>619</v>
      </c>
      <c r="B69" s="158"/>
      <c r="C69" s="158"/>
      <c r="D69" s="158">
        <v>0</v>
      </c>
      <c r="E69" s="158"/>
      <c r="F69" s="158"/>
      <c r="G69" s="158"/>
      <c r="H69" s="158"/>
      <c r="I69" s="158"/>
      <c r="J69" s="158"/>
      <c r="K69" s="158"/>
      <c r="L69" s="158"/>
      <c r="M69" s="158"/>
      <c r="N69" s="158">
        <f t="shared" si="6"/>
        <v>0</v>
      </c>
    </row>
    <row r="70" spans="1:14">
      <c r="A70" s="148" t="s">
        <v>620</v>
      </c>
      <c r="B70" s="158"/>
      <c r="C70" s="158"/>
      <c r="D70" s="158">
        <v>600</v>
      </c>
      <c r="E70" s="128">
        <v>410</v>
      </c>
      <c r="F70" s="128">
        <v>410</v>
      </c>
      <c r="G70" s="128">
        <v>410</v>
      </c>
      <c r="H70" s="128">
        <v>410</v>
      </c>
      <c r="I70" s="128">
        <v>410</v>
      </c>
      <c r="J70" s="128">
        <v>410</v>
      </c>
      <c r="K70" s="128">
        <v>410</v>
      </c>
      <c r="L70" s="128">
        <v>410</v>
      </c>
      <c r="M70" s="128">
        <v>410</v>
      </c>
      <c r="N70" s="158">
        <f t="shared" si="6"/>
        <v>4290</v>
      </c>
    </row>
    <row r="71" spans="1:14">
      <c r="A71" s="304" t="s">
        <v>621</v>
      </c>
      <c r="B71" s="158"/>
      <c r="C71" s="158"/>
      <c r="D71" s="158">
        <v>10</v>
      </c>
      <c r="E71" s="128">
        <v>10</v>
      </c>
      <c r="F71" s="128">
        <v>10</v>
      </c>
      <c r="G71" s="128">
        <v>10</v>
      </c>
      <c r="H71" s="128">
        <v>10</v>
      </c>
      <c r="I71" s="128">
        <v>10</v>
      </c>
      <c r="J71" s="128">
        <v>10</v>
      </c>
      <c r="K71" s="128">
        <v>10</v>
      </c>
      <c r="L71" s="128">
        <v>10</v>
      </c>
      <c r="M71" s="128">
        <v>10</v>
      </c>
      <c r="N71" s="158">
        <f t="shared" si="6"/>
        <v>100</v>
      </c>
    </row>
    <row r="72" spans="1:14">
      <c r="A72" s="304" t="s">
        <v>622</v>
      </c>
      <c r="B72" s="158"/>
      <c r="C72" s="158"/>
      <c r="D72" s="158">
        <v>350</v>
      </c>
      <c r="E72" s="128">
        <v>350</v>
      </c>
      <c r="F72" s="128">
        <v>350</v>
      </c>
      <c r="G72" s="128">
        <v>350</v>
      </c>
      <c r="H72" s="128">
        <v>350</v>
      </c>
      <c r="I72" s="128">
        <v>350</v>
      </c>
      <c r="J72" s="128">
        <v>350</v>
      </c>
      <c r="K72" s="128">
        <v>350</v>
      </c>
      <c r="L72" s="128">
        <v>350</v>
      </c>
      <c r="M72" s="128">
        <v>350</v>
      </c>
      <c r="N72" s="158">
        <f t="shared" si="6"/>
        <v>3500</v>
      </c>
    </row>
    <row r="73" spans="1:14">
      <c r="A73" s="304" t="s">
        <v>623</v>
      </c>
      <c r="B73" s="158"/>
      <c r="C73" s="158"/>
      <c r="D73" s="158">
        <v>1081.2633468848462</v>
      </c>
      <c r="E73" s="128">
        <v>1032.5542499999999</v>
      </c>
      <c r="F73" s="128">
        <v>1066.9727250000001</v>
      </c>
      <c r="G73" s="128">
        <v>1204.6309200000001</v>
      </c>
      <c r="H73" s="128">
        <v>1257.8690899999999</v>
      </c>
      <c r="I73" s="128">
        <v>1266.3567969999999</v>
      </c>
      <c r="J73" s="128">
        <v>1225.0798809999999</v>
      </c>
      <c r="K73" s="128">
        <v>1265.9158769999999</v>
      </c>
      <c r="L73" s="128">
        <v>1837.7136660000001</v>
      </c>
      <c r="M73" s="128">
        <v>1955.9142730000001</v>
      </c>
      <c r="N73" s="158">
        <f t="shared" si="6"/>
        <v>13194.270825884845</v>
      </c>
    </row>
    <row r="74" spans="1:14">
      <c r="A74" s="304" t="s">
        <v>624</v>
      </c>
      <c r="B74" s="158"/>
      <c r="C74" s="158"/>
      <c r="D74" s="158">
        <v>7500</v>
      </c>
      <c r="E74" s="128">
        <v>9000</v>
      </c>
      <c r="F74" s="128">
        <v>9000</v>
      </c>
      <c r="G74" s="128">
        <v>9000</v>
      </c>
      <c r="H74" s="128">
        <v>9000</v>
      </c>
      <c r="I74" s="128">
        <v>9000</v>
      </c>
      <c r="J74" s="128">
        <v>9000</v>
      </c>
      <c r="K74" s="128">
        <v>9000</v>
      </c>
      <c r="L74" s="128">
        <v>9000</v>
      </c>
      <c r="M74" s="128">
        <v>9000</v>
      </c>
      <c r="N74" s="158">
        <f t="shared" si="6"/>
        <v>88500</v>
      </c>
    </row>
    <row r="75" spans="1:14">
      <c r="A75" s="304" t="s">
        <v>625</v>
      </c>
      <c r="B75" s="158"/>
      <c r="C75" s="158"/>
      <c r="D75" s="158">
        <v>298</v>
      </c>
      <c r="E75" s="128">
        <v>298</v>
      </c>
      <c r="F75" s="128">
        <v>298</v>
      </c>
      <c r="G75" s="128">
        <v>298</v>
      </c>
      <c r="H75" s="128">
        <v>298</v>
      </c>
      <c r="I75" s="128">
        <v>298</v>
      </c>
      <c r="J75" s="128">
        <v>298</v>
      </c>
      <c r="K75" s="128">
        <v>298</v>
      </c>
      <c r="L75" s="128">
        <v>298</v>
      </c>
      <c r="M75" s="128">
        <v>298</v>
      </c>
      <c r="N75" s="158">
        <f t="shared" si="6"/>
        <v>2980</v>
      </c>
    </row>
    <row r="76" spans="1:14">
      <c r="A76" s="304" t="s">
        <v>626</v>
      </c>
      <c r="B76" s="158"/>
      <c r="C76" s="158"/>
      <c r="D76" s="158">
        <v>1736</v>
      </c>
      <c r="E76" s="128">
        <v>1736</v>
      </c>
      <c r="F76" s="128">
        <v>1736</v>
      </c>
      <c r="G76" s="128">
        <v>1736</v>
      </c>
      <c r="H76" s="128">
        <v>1736</v>
      </c>
      <c r="I76" s="128">
        <v>1736</v>
      </c>
      <c r="J76" s="128">
        <v>1736</v>
      </c>
      <c r="K76" s="128">
        <v>1736</v>
      </c>
      <c r="L76" s="128">
        <v>1736</v>
      </c>
      <c r="M76" s="128">
        <v>1736</v>
      </c>
      <c r="N76" s="158">
        <f t="shared" si="6"/>
        <v>17360</v>
      </c>
    </row>
    <row r="77" spans="1:14">
      <c r="A77" s="304" t="s">
        <v>627</v>
      </c>
      <c r="B77" s="158"/>
      <c r="C77" s="158"/>
      <c r="D77" s="158">
        <v>2595.0320325236312</v>
      </c>
      <c r="E77" s="128">
        <v>2478.1302000000001</v>
      </c>
      <c r="F77" s="128">
        <v>2560.7345399999999</v>
      </c>
      <c r="G77" s="128">
        <v>2891.114208</v>
      </c>
      <c r="H77" s="128">
        <v>3018.8858169999999</v>
      </c>
      <c r="I77" s="128">
        <v>3039.2563129999999</v>
      </c>
      <c r="J77" s="128">
        <v>2940.1917149999999</v>
      </c>
      <c r="K77" s="128">
        <v>3038.1981049999999</v>
      </c>
      <c r="L77" s="128">
        <v>4410.5127979999997</v>
      </c>
      <c r="M77" s="128">
        <v>4694.1942559999998</v>
      </c>
      <c r="N77" s="158">
        <f t="shared" si="6"/>
        <v>31666.249984523631</v>
      </c>
    </row>
    <row r="78" spans="1:14">
      <c r="A78" s="304" t="s">
        <v>628</v>
      </c>
      <c r="B78" s="158"/>
      <c r="C78" s="158"/>
      <c r="D78" s="158">
        <v>3243.7900406545386</v>
      </c>
      <c r="E78" s="128">
        <v>3097.66275</v>
      </c>
      <c r="F78" s="128">
        <v>2560.7345399999999</v>
      </c>
      <c r="G78" s="128">
        <v>2891.114208</v>
      </c>
      <c r="H78" s="128">
        <v>3018.8858169999999</v>
      </c>
      <c r="I78" s="128">
        <v>3799.0703910000002</v>
      </c>
      <c r="J78" s="128">
        <v>3675.2396429999999</v>
      </c>
      <c r="K78" s="128">
        <v>3797.7476320000001</v>
      </c>
      <c r="L78" s="128">
        <v>5513.1409979999999</v>
      </c>
      <c r="M78" s="128">
        <v>5867.7428190000001</v>
      </c>
      <c r="N78" s="158">
        <f t="shared" si="6"/>
        <v>37465.128838654535</v>
      </c>
    </row>
    <row r="79" spans="1:14">
      <c r="A79" s="304" t="s">
        <v>629</v>
      </c>
      <c r="B79" s="158"/>
      <c r="C79" s="158"/>
      <c r="D79" s="158">
        <v>3243.7900406545386</v>
      </c>
      <c r="E79" s="128">
        <v>3097.66275</v>
      </c>
      <c r="F79" s="128">
        <v>4694.6799899999996</v>
      </c>
      <c r="G79" s="128">
        <v>5300.3760469999997</v>
      </c>
      <c r="H79" s="128">
        <v>5534.6239969999997</v>
      </c>
      <c r="I79" s="128">
        <v>3799.0703910000002</v>
      </c>
      <c r="J79" s="128">
        <v>3675.2396429999999</v>
      </c>
      <c r="K79" s="128">
        <v>3797.7476320000001</v>
      </c>
      <c r="L79" s="128">
        <v>5513.1409979999999</v>
      </c>
      <c r="M79" s="128">
        <v>5867.7428190000001</v>
      </c>
      <c r="N79" s="158">
        <f t="shared" si="6"/>
        <v>44524.07430765454</v>
      </c>
    </row>
    <row r="80" spans="1:14">
      <c r="A80" s="304" t="s">
        <v>630</v>
      </c>
      <c r="B80" s="158"/>
      <c r="C80" s="158"/>
      <c r="D80" s="158">
        <v>216.25266937696927</v>
      </c>
      <c r="E80" s="128">
        <v>206.51085</v>
      </c>
      <c r="F80" s="128">
        <v>213.39454499999999</v>
      </c>
      <c r="G80" s="128">
        <v>240.92618400000001</v>
      </c>
      <c r="H80" s="128">
        <v>251.57381810000001</v>
      </c>
      <c r="I80" s="128">
        <v>253.27135939999999</v>
      </c>
      <c r="J80" s="128">
        <v>245.01597620000001</v>
      </c>
      <c r="K80" s="128">
        <v>253.18317540000001</v>
      </c>
      <c r="L80" s="128">
        <v>367.54273319999999</v>
      </c>
      <c r="M80" s="128">
        <v>391.18285459999998</v>
      </c>
      <c r="N80" s="158">
        <f t="shared" si="6"/>
        <v>2638.8541652769695</v>
      </c>
    </row>
    <row r="81" spans="1:14">
      <c r="A81" s="304" t="s">
        <v>631</v>
      </c>
      <c r="B81" s="158"/>
      <c r="C81" s="158"/>
      <c r="D81" s="158">
        <v>216.25266937696927</v>
      </c>
      <c r="E81" s="128">
        <v>206.51085</v>
      </c>
      <c r="F81" s="128">
        <v>213.39454499999999</v>
      </c>
      <c r="G81" s="128">
        <v>240.92618400000001</v>
      </c>
      <c r="H81" s="128">
        <v>251.57381810000001</v>
      </c>
      <c r="I81" s="128">
        <v>253.27135939999999</v>
      </c>
      <c r="J81" s="128">
        <v>245.01597620000001</v>
      </c>
      <c r="K81" s="128">
        <v>253.18317540000001</v>
      </c>
      <c r="L81" s="128">
        <v>367.54273319999999</v>
      </c>
      <c r="M81" s="128">
        <v>391.18285459999998</v>
      </c>
      <c r="N81" s="158">
        <f t="shared" si="6"/>
        <v>2638.8541652769695</v>
      </c>
    </row>
    <row r="82" spans="1:14">
      <c r="A82" s="304" t="s">
        <v>632</v>
      </c>
      <c r="B82" s="158"/>
      <c r="C82" s="158"/>
      <c r="D82" s="158">
        <v>216.25266937696927</v>
      </c>
      <c r="E82" s="128">
        <v>206.51085</v>
      </c>
      <c r="F82" s="128">
        <v>213.39454499999999</v>
      </c>
      <c r="G82" s="128">
        <v>240.92618400000001</v>
      </c>
      <c r="H82" s="128">
        <v>251.57381810000001</v>
      </c>
      <c r="I82" s="128">
        <v>253.27135939999999</v>
      </c>
      <c r="J82" s="128">
        <v>245.01597620000001</v>
      </c>
      <c r="K82" s="128">
        <v>253.18317540000001</v>
      </c>
      <c r="L82" s="128">
        <v>367.54273319999999</v>
      </c>
      <c r="M82" s="128">
        <v>391.18285459999998</v>
      </c>
      <c r="N82" s="158">
        <f t="shared" si="6"/>
        <v>2638.8541652769695</v>
      </c>
    </row>
    <row r="83" spans="1:14">
      <c r="A83" s="304" t="s">
        <v>633</v>
      </c>
      <c r="B83" s="158"/>
      <c r="C83" s="158"/>
      <c r="D83" s="158">
        <v>86.501067750787698</v>
      </c>
      <c r="E83" s="128">
        <v>82.604339999999993</v>
      </c>
      <c r="F83" s="128">
        <v>85.357817999999995</v>
      </c>
      <c r="G83" s="128">
        <v>96.370473590000003</v>
      </c>
      <c r="H83" s="128">
        <v>100.6295272</v>
      </c>
      <c r="I83" s="128">
        <v>101.3085438</v>
      </c>
      <c r="J83" s="128">
        <v>98.006390490000001</v>
      </c>
      <c r="K83" s="128">
        <v>101.2732702</v>
      </c>
      <c r="L83" s="128">
        <v>147.0170933</v>
      </c>
      <c r="M83" s="128">
        <v>156.4731419</v>
      </c>
      <c r="N83" s="158">
        <f t="shared" si="6"/>
        <v>1055.5416662307878</v>
      </c>
    </row>
    <row r="84" spans="1:14">
      <c r="A84" s="304" t="s">
        <v>634</v>
      </c>
      <c r="B84" s="158"/>
      <c r="C84" s="158"/>
      <c r="D84" s="158">
        <v>43</v>
      </c>
      <c r="E84" s="128">
        <v>43</v>
      </c>
      <c r="F84" s="128">
        <v>43</v>
      </c>
      <c r="G84" s="128">
        <v>43</v>
      </c>
      <c r="H84" s="128">
        <v>43</v>
      </c>
      <c r="I84" s="128">
        <v>43</v>
      </c>
      <c r="J84" s="128">
        <v>43</v>
      </c>
      <c r="K84" s="128">
        <v>43</v>
      </c>
      <c r="L84" s="128">
        <v>43</v>
      </c>
      <c r="M84" s="128">
        <v>43</v>
      </c>
      <c r="N84" s="158">
        <f t="shared" si="6"/>
        <v>430</v>
      </c>
    </row>
    <row r="85" spans="1:14">
      <c r="A85" s="304" t="s">
        <v>635</v>
      </c>
      <c r="B85" s="158"/>
      <c r="C85" s="158"/>
      <c r="D85" s="158">
        <v>650</v>
      </c>
      <c r="E85" s="128">
        <v>600</v>
      </c>
      <c r="F85" s="128">
        <v>650</v>
      </c>
      <c r="G85" s="128">
        <v>650</v>
      </c>
      <c r="H85" s="128">
        <v>650</v>
      </c>
      <c r="I85" s="128">
        <v>650</v>
      </c>
      <c r="J85" s="128">
        <v>650</v>
      </c>
      <c r="K85" s="128">
        <v>650</v>
      </c>
      <c r="L85" s="128">
        <v>650</v>
      </c>
      <c r="M85" s="128">
        <v>650</v>
      </c>
      <c r="N85" s="158">
        <f t="shared" si="6"/>
        <v>6450</v>
      </c>
    </row>
    <row r="86" spans="1:14">
      <c r="A86" s="304" t="s">
        <v>636</v>
      </c>
      <c r="B86" s="158"/>
      <c r="C86" s="158"/>
      <c r="D86" s="158">
        <v>200</v>
      </c>
      <c r="E86" s="128">
        <v>250</v>
      </c>
      <c r="F86" s="128">
        <v>250</v>
      </c>
      <c r="G86" s="128">
        <v>240.92618400000001</v>
      </c>
      <c r="H86" s="128">
        <v>251.57381810000001</v>
      </c>
      <c r="I86" s="128">
        <v>200</v>
      </c>
      <c r="J86" s="128">
        <v>200</v>
      </c>
      <c r="K86" s="128">
        <v>200</v>
      </c>
      <c r="L86" s="128">
        <v>200</v>
      </c>
      <c r="M86" s="128">
        <v>200</v>
      </c>
      <c r="N86" s="158">
        <f t="shared" si="6"/>
        <v>2192.5000021000001</v>
      </c>
    </row>
    <row r="87" spans="1:14">
      <c r="A87" s="304" t="s">
        <v>637</v>
      </c>
      <c r="B87" s="158"/>
      <c r="C87" s="158"/>
      <c r="D87" s="158">
        <v>250</v>
      </c>
      <c r="E87" s="128">
        <v>100</v>
      </c>
      <c r="F87" s="128">
        <v>100</v>
      </c>
      <c r="G87" s="128">
        <v>100</v>
      </c>
      <c r="H87" s="128">
        <v>100</v>
      </c>
      <c r="I87" s="128">
        <v>100</v>
      </c>
      <c r="J87" s="128">
        <v>100</v>
      </c>
      <c r="K87" s="128">
        <v>100</v>
      </c>
      <c r="L87" s="128">
        <v>100</v>
      </c>
      <c r="M87" s="128">
        <v>100</v>
      </c>
      <c r="N87" s="158">
        <f t="shared" si="6"/>
        <v>1150</v>
      </c>
    </row>
    <row r="88" spans="1:14">
      <c r="A88" s="304" t="s">
        <v>638</v>
      </c>
      <c r="B88" s="158"/>
      <c r="C88" s="158"/>
      <c r="D88" s="158">
        <v>1297.5160162618156</v>
      </c>
      <c r="E88" s="128">
        <v>1239.0651</v>
      </c>
      <c r="F88" s="128">
        <v>1280.36727</v>
      </c>
      <c r="G88" s="128">
        <v>344</v>
      </c>
      <c r="H88" s="128">
        <v>2515.7381810000002</v>
      </c>
      <c r="I88" s="128">
        <v>2532.7135939999998</v>
      </c>
      <c r="J88" s="128">
        <v>2450.1597619999998</v>
      </c>
      <c r="K88" s="128">
        <v>2531.8317539999998</v>
      </c>
      <c r="L88" s="128">
        <v>3675.4273320000002</v>
      </c>
      <c r="M88" s="128">
        <v>3911.8285460000002</v>
      </c>
      <c r="N88" s="158">
        <f t="shared" si="6"/>
        <v>21778.647555261814</v>
      </c>
    </row>
    <row r="89" spans="1:14">
      <c r="A89" s="304" t="s">
        <v>639</v>
      </c>
      <c r="B89" s="158"/>
      <c r="C89" s="158"/>
      <c r="D89" s="158">
        <v>2473</v>
      </c>
      <c r="E89" s="128">
        <v>2473</v>
      </c>
      <c r="F89" s="128">
        <v>2473</v>
      </c>
      <c r="G89" s="128">
        <v>2474</v>
      </c>
      <c r="H89" s="128">
        <v>2473</v>
      </c>
      <c r="I89" s="128">
        <v>2473</v>
      </c>
      <c r="J89" s="128">
        <v>2473</v>
      </c>
      <c r="K89" s="128">
        <v>2473</v>
      </c>
      <c r="L89" s="128">
        <v>2473</v>
      </c>
      <c r="M89" s="128">
        <v>2473</v>
      </c>
      <c r="N89" s="158">
        <f t="shared" si="6"/>
        <v>24731</v>
      </c>
    </row>
    <row r="90" spans="1:14">
      <c r="A90" s="304" t="s">
        <v>640</v>
      </c>
      <c r="B90" s="158"/>
      <c r="C90" s="158"/>
      <c r="D90" s="158">
        <v>432.50533875393853</v>
      </c>
      <c r="E90" s="128">
        <v>413.02170000000001</v>
      </c>
      <c r="F90" s="128">
        <v>426.78908999999999</v>
      </c>
      <c r="G90" s="128">
        <v>481.85236789999999</v>
      </c>
      <c r="H90" s="128">
        <v>503.1476361</v>
      </c>
      <c r="I90" s="128">
        <v>506.54271879999999</v>
      </c>
      <c r="J90" s="128">
        <v>490.03195249999999</v>
      </c>
      <c r="K90" s="128">
        <v>506.36635089999999</v>
      </c>
      <c r="L90" s="128">
        <v>735.08546639999997</v>
      </c>
      <c r="M90" s="128">
        <v>782.36570930000005</v>
      </c>
      <c r="N90" s="158">
        <f t="shared" si="6"/>
        <v>5277.708330653938</v>
      </c>
    </row>
    <row r="91" spans="1:14">
      <c r="A91" s="304" t="s">
        <v>641</v>
      </c>
      <c r="B91" s="158"/>
      <c r="C91" s="158"/>
      <c r="D91" s="158">
        <v>432.50533875393853</v>
      </c>
      <c r="E91" s="128">
        <v>413.02170000000001</v>
      </c>
      <c r="F91" s="128">
        <v>426.78908999999999</v>
      </c>
      <c r="G91" s="128">
        <v>481.85236789999999</v>
      </c>
      <c r="H91" s="128">
        <v>503.1476361</v>
      </c>
      <c r="I91" s="128">
        <v>506.54271879999999</v>
      </c>
      <c r="J91" s="128">
        <v>490.03195249999999</v>
      </c>
      <c r="K91" s="128">
        <v>506.36635089999999</v>
      </c>
      <c r="L91" s="128">
        <v>735.08546639999997</v>
      </c>
      <c r="M91" s="128">
        <v>782.36570930000005</v>
      </c>
      <c r="N91" s="158">
        <f t="shared" si="6"/>
        <v>5277.708330653938</v>
      </c>
    </row>
    <row r="92" spans="1:14">
      <c r="A92" s="304" t="s">
        <v>642</v>
      </c>
      <c r="B92" s="158"/>
      <c r="C92" s="158"/>
      <c r="D92" s="158"/>
      <c r="E92" s="128">
        <v>4750</v>
      </c>
      <c r="F92" s="128">
        <v>4750</v>
      </c>
      <c r="G92" s="128">
        <v>4750</v>
      </c>
      <c r="H92" s="128">
        <v>4750</v>
      </c>
      <c r="I92" s="128">
        <v>4750</v>
      </c>
      <c r="J92" s="128">
        <v>4750</v>
      </c>
      <c r="K92" s="128">
        <v>4750</v>
      </c>
      <c r="L92" s="128">
        <v>4750</v>
      </c>
      <c r="M92" s="128">
        <v>4750</v>
      </c>
      <c r="N92" s="158">
        <f t="shared" si="6"/>
        <v>42750</v>
      </c>
    </row>
    <row r="93" spans="1:14">
      <c r="A93" s="130" t="s">
        <v>643</v>
      </c>
      <c r="B93" s="158"/>
      <c r="C93" s="158"/>
      <c r="D93" s="158"/>
      <c r="E93" s="158"/>
      <c r="F93" s="158"/>
      <c r="G93" s="158"/>
      <c r="H93" s="158"/>
      <c r="I93" s="158"/>
      <c r="J93" s="158"/>
      <c r="K93" s="158"/>
      <c r="L93" s="158"/>
      <c r="M93" s="167"/>
      <c r="N93" s="158">
        <f t="shared" si="6"/>
        <v>0</v>
      </c>
    </row>
    <row r="94" spans="1:14">
      <c r="A94" s="304" t="s">
        <v>292</v>
      </c>
      <c r="B94" s="158"/>
      <c r="C94" s="158"/>
      <c r="D94" s="158">
        <v>5144</v>
      </c>
      <c r="E94" s="160"/>
      <c r="F94" s="160"/>
      <c r="G94" s="160"/>
      <c r="H94" s="160"/>
      <c r="I94" s="160"/>
      <c r="J94" s="160"/>
      <c r="K94" s="160"/>
      <c r="L94" s="160"/>
      <c r="M94" s="167"/>
      <c r="N94" s="158">
        <f t="shared" si="6"/>
        <v>5144</v>
      </c>
    </row>
    <row r="95" spans="1:14">
      <c r="A95" s="304" t="s">
        <v>56</v>
      </c>
      <c r="B95" s="158"/>
      <c r="C95" s="158"/>
      <c r="D95" s="158"/>
      <c r="E95" s="158"/>
      <c r="F95" s="158"/>
      <c r="G95" s="158"/>
      <c r="H95" s="158"/>
      <c r="I95" s="158"/>
      <c r="J95" s="158"/>
      <c r="K95" s="158"/>
      <c r="L95" s="158"/>
      <c r="M95" s="158"/>
      <c r="N95" s="158">
        <f t="shared" si="6"/>
        <v>0</v>
      </c>
    </row>
    <row r="96" spans="1:14">
      <c r="A96" s="304" t="s">
        <v>644</v>
      </c>
      <c r="B96" s="158"/>
      <c r="C96" s="158"/>
      <c r="D96" s="158">
        <v>432.50533875393853</v>
      </c>
      <c r="E96" s="128">
        <v>413.02170000000001</v>
      </c>
      <c r="F96" s="128">
        <v>426.78908999999999</v>
      </c>
      <c r="G96" s="128">
        <v>481.85236789999999</v>
      </c>
      <c r="H96" s="128">
        <v>503.1476361</v>
      </c>
      <c r="I96" s="128">
        <v>506.54271879999999</v>
      </c>
      <c r="J96" s="128">
        <v>490.03195249999999</v>
      </c>
      <c r="K96" s="128">
        <v>506.36635089999999</v>
      </c>
      <c r="L96" s="128">
        <v>735.08546639999997</v>
      </c>
      <c r="M96" s="128">
        <v>782.36570930000005</v>
      </c>
      <c r="N96" s="158">
        <f t="shared" ref="N96:N128" si="7">+SUM(B96:M96)</f>
        <v>5277.708330653938</v>
      </c>
    </row>
    <row r="97" spans="1:14">
      <c r="A97" s="304" t="s">
        <v>645</v>
      </c>
      <c r="B97" s="158"/>
      <c r="C97" s="158"/>
      <c r="D97" s="158">
        <v>216.25266937696927</v>
      </c>
      <c r="E97" s="128">
        <v>206.51085</v>
      </c>
      <c r="F97" s="128">
        <v>213.39454499999999</v>
      </c>
      <c r="G97" s="128">
        <v>240.92618400000001</v>
      </c>
      <c r="H97" s="128">
        <v>251.57381810000001</v>
      </c>
      <c r="I97" s="128">
        <v>253.27135939999999</v>
      </c>
      <c r="J97" s="128">
        <v>245.01597620000001</v>
      </c>
      <c r="K97" s="128">
        <v>253.18317540000001</v>
      </c>
      <c r="L97" s="128">
        <v>367.54273319999999</v>
      </c>
      <c r="M97" s="128">
        <v>391.18285459999998</v>
      </c>
      <c r="N97" s="158">
        <f t="shared" si="7"/>
        <v>2638.8541652769695</v>
      </c>
    </row>
    <row r="98" spans="1:14">
      <c r="A98" s="304" t="s">
        <v>646</v>
      </c>
      <c r="B98" s="158"/>
      <c r="C98" s="158"/>
      <c r="D98" s="158">
        <v>432.50533875393853</v>
      </c>
      <c r="E98" s="128">
        <v>413.02170000000001</v>
      </c>
      <c r="F98" s="128">
        <v>426.78908999999999</v>
      </c>
      <c r="G98" s="128">
        <v>481.85236789999999</v>
      </c>
      <c r="H98" s="128">
        <v>503.1476361</v>
      </c>
      <c r="I98" s="128">
        <v>506.54271879999999</v>
      </c>
      <c r="J98" s="128">
        <v>490.03195249999999</v>
      </c>
      <c r="K98" s="128">
        <v>506.36635089999999</v>
      </c>
      <c r="L98" s="128">
        <v>735.08546639999997</v>
      </c>
      <c r="M98" s="128">
        <v>782.36570930000005</v>
      </c>
      <c r="N98" s="158">
        <f t="shared" si="7"/>
        <v>5277.708330653938</v>
      </c>
    </row>
    <row r="99" spans="1:14">
      <c r="A99" s="304" t="s">
        <v>647</v>
      </c>
      <c r="B99" s="158"/>
      <c r="C99" s="158"/>
      <c r="D99" s="158">
        <v>900</v>
      </c>
      <c r="E99" s="128">
        <v>900</v>
      </c>
      <c r="F99" s="128">
        <v>900</v>
      </c>
      <c r="G99" s="128">
        <v>900</v>
      </c>
      <c r="H99" s="128">
        <v>900</v>
      </c>
      <c r="I99" s="128">
        <v>900</v>
      </c>
      <c r="J99" s="128">
        <v>900</v>
      </c>
      <c r="K99" s="128">
        <v>900</v>
      </c>
      <c r="L99" s="128">
        <v>900</v>
      </c>
      <c r="M99" s="128">
        <v>900</v>
      </c>
      <c r="N99" s="158">
        <f t="shared" si="7"/>
        <v>9000</v>
      </c>
    </row>
    <row r="100" spans="1:14">
      <c r="A100" s="130" t="s">
        <v>648</v>
      </c>
      <c r="B100" s="158"/>
      <c r="C100" s="158"/>
      <c r="D100" s="158">
        <v>5000</v>
      </c>
      <c r="E100" s="128">
        <v>5000</v>
      </c>
      <c r="F100" s="128">
        <v>5000</v>
      </c>
      <c r="G100" s="128">
        <v>5000</v>
      </c>
      <c r="H100" s="128">
        <v>5000</v>
      </c>
      <c r="I100" s="128">
        <v>5000</v>
      </c>
      <c r="J100" s="128">
        <v>5000</v>
      </c>
      <c r="K100" s="128">
        <v>5000</v>
      </c>
      <c r="L100" s="128">
        <v>5000</v>
      </c>
      <c r="M100" s="128">
        <v>5000</v>
      </c>
      <c r="N100" s="158">
        <f t="shared" si="7"/>
        <v>50000</v>
      </c>
    </row>
    <row r="101" spans="1:14">
      <c r="A101" s="304" t="s">
        <v>649</v>
      </c>
      <c r="B101" s="158"/>
      <c r="C101" s="158"/>
      <c r="D101" s="158">
        <v>865.01067750787706</v>
      </c>
      <c r="E101" s="128">
        <v>826.04340000000002</v>
      </c>
      <c r="F101" s="128">
        <v>853.57817999999997</v>
      </c>
      <c r="G101" s="128">
        <v>963.70473589999995</v>
      </c>
      <c r="H101" s="128">
        <v>1006.295272</v>
      </c>
      <c r="I101" s="128">
        <v>1013.085438</v>
      </c>
      <c r="J101" s="128">
        <v>980.06390490000001</v>
      </c>
      <c r="K101" s="128">
        <v>1012.732702</v>
      </c>
      <c r="L101" s="128">
        <v>1470.1709330000001</v>
      </c>
      <c r="M101" s="128">
        <v>1564.731419</v>
      </c>
      <c r="N101" s="158">
        <f t="shared" si="7"/>
        <v>10555.416662307876</v>
      </c>
    </row>
    <row r="102" spans="1:14">
      <c r="A102" s="304" t="s">
        <v>650</v>
      </c>
      <c r="B102" s="158"/>
      <c r="C102" s="158"/>
      <c r="D102" s="158">
        <v>10380.128130094525</v>
      </c>
      <c r="E102" s="128">
        <v>1652.0868</v>
      </c>
      <c r="F102" s="128">
        <v>1707.1563599999999</v>
      </c>
      <c r="G102" s="128">
        <v>1927.4094720000001</v>
      </c>
      <c r="H102" s="128">
        <v>2012.5905439999999</v>
      </c>
      <c r="I102" s="128">
        <v>2026.170875</v>
      </c>
      <c r="J102" s="128">
        <v>1960.12781</v>
      </c>
      <c r="K102" s="128">
        <v>2025.4654029999999</v>
      </c>
      <c r="L102" s="128">
        <v>2940.3418660000002</v>
      </c>
      <c r="M102" s="128">
        <v>3129.462837</v>
      </c>
      <c r="N102" s="158">
        <f t="shared" si="7"/>
        <v>29760.940097094521</v>
      </c>
    </row>
    <row r="103" spans="1:14">
      <c r="A103" s="304" t="s">
        <v>651</v>
      </c>
      <c r="B103" s="158"/>
      <c r="C103" s="158"/>
      <c r="D103" s="158"/>
      <c r="E103" s="158"/>
      <c r="F103" s="158"/>
      <c r="G103" s="158"/>
      <c r="H103" s="158"/>
      <c r="I103" s="158"/>
      <c r="J103" s="158"/>
      <c r="K103" s="158"/>
      <c r="L103" s="158"/>
      <c r="M103" s="158"/>
      <c r="N103" s="158">
        <f t="shared" si="7"/>
        <v>0</v>
      </c>
    </row>
    <row r="104" spans="1:14">
      <c r="A104" s="304" t="s">
        <v>721</v>
      </c>
      <c r="B104" s="158"/>
      <c r="C104" s="158"/>
      <c r="D104" s="158"/>
      <c r="E104" s="158"/>
      <c r="F104" s="158"/>
      <c r="G104" s="158"/>
      <c r="H104" s="158"/>
      <c r="I104" s="158"/>
      <c r="J104" s="158"/>
      <c r="K104" s="158"/>
      <c r="L104" s="158"/>
      <c r="M104" s="158"/>
      <c r="N104" s="158">
        <f t="shared" si="7"/>
        <v>0</v>
      </c>
    </row>
    <row r="105" spans="1:14">
      <c r="A105" s="304" t="s">
        <v>652</v>
      </c>
      <c r="B105" s="158"/>
      <c r="C105" s="158"/>
      <c r="D105" s="158"/>
      <c r="E105" s="158"/>
      <c r="F105" s="158"/>
      <c r="G105" s="158"/>
      <c r="H105" s="158"/>
      <c r="I105" s="158"/>
      <c r="J105" s="158"/>
      <c r="K105" s="158"/>
      <c r="L105" s="158"/>
      <c r="M105" s="158"/>
      <c r="N105" s="158">
        <f t="shared" si="7"/>
        <v>0</v>
      </c>
    </row>
    <row r="106" spans="1:14">
      <c r="A106" s="304" t="s">
        <v>653</v>
      </c>
      <c r="B106" s="158"/>
      <c r="C106" s="158"/>
      <c r="D106" s="158"/>
      <c r="E106" s="158"/>
      <c r="F106" s="158"/>
      <c r="G106" s="158"/>
      <c r="H106" s="158"/>
      <c r="I106" s="158"/>
      <c r="J106" s="158"/>
      <c r="K106" s="158"/>
      <c r="L106" s="158"/>
      <c r="M106" s="158"/>
      <c r="N106" s="158">
        <f t="shared" si="7"/>
        <v>0</v>
      </c>
    </row>
    <row r="107" spans="1:14">
      <c r="A107" s="304" t="s">
        <v>654</v>
      </c>
      <c r="B107" s="158"/>
      <c r="C107" s="158"/>
      <c r="D107" s="158"/>
      <c r="E107" s="158"/>
      <c r="F107" s="158"/>
      <c r="G107" s="158"/>
      <c r="H107" s="158"/>
      <c r="I107" s="158"/>
      <c r="J107" s="158"/>
      <c r="K107" s="158"/>
      <c r="L107" s="158"/>
      <c r="M107" s="158"/>
      <c r="N107" s="158">
        <f t="shared" si="7"/>
        <v>0</v>
      </c>
    </row>
    <row r="108" spans="1:14">
      <c r="A108" s="304" t="s">
        <v>655</v>
      </c>
      <c r="B108" s="158"/>
      <c r="C108" s="158"/>
      <c r="D108" s="158"/>
      <c r="E108" s="158"/>
      <c r="F108" s="158"/>
      <c r="G108" s="158"/>
      <c r="H108" s="158"/>
      <c r="I108" s="158"/>
      <c r="J108" s="158"/>
      <c r="K108" s="158"/>
      <c r="L108" s="158"/>
      <c r="M108" s="158"/>
      <c r="N108" s="158">
        <f t="shared" si="7"/>
        <v>0</v>
      </c>
    </row>
    <row r="109" spans="1:14">
      <c r="A109" s="304" t="s">
        <v>656</v>
      </c>
      <c r="B109" s="158"/>
      <c r="C109" s="158"/>
      <c r="D109" s="128">
        <v>400</v>
      </c>
      <c r="E109" s="128">
        <v>400</v>
      </c>
      <c r="F109" s="128">
        <v>400</v>
      </c>
      <c r="G109" s="128">
        <v>400</v>
      </c>
      <c r="H109" s="128">
        <v>400</v>
      </c>
      <c r="I109" s="128">
        <v>400</v>
      </c>
      <c r="J109" s="128">
        <v>400</v>
      </c>
      <c r="K109" s="128">
        <v>400</v>
      </c>
      <c r="L109" s="128">
        <v>400</v>
      </c>
      <c r="M109" s="128">
        <v>400</v>
      </c>
      <c r="N109" s="158">
        <f t="shared" si="7"/>
        <v>4000</v>
      </c>
    </row>
    <row r="110" spans="1:14">
      <c r="A110" s="304" t="s">
        <v>299</v>
      </c>
      <c r="B110" s="158"/>
      <c r="C110" s="158"/>
      <c r="D110" s="158"/>
      <c r="M110" s="128"/>
      <c r="N110" s="158">
        <f t="shared" si="7"/>
        <v>0</v>
      </c>
    </row>
    <row r="111" spans="1:14">
      <c r="A111" s="304" t="s">
        <v>658</v>
      </c>
      <c r="B111" s="158"/>
      <c r="C111" s="158"/>
      <c r="D111" s="158">
        <v>432.50533875393853</v>
      </c>
      <c r="E111" s="128">
        <v>400</v>
      </c>
      <c r="F111" s="128">
        <v>400</v>
      </c>
      <c r="G111" s="128">
        <v>400</v>
      </c>
      <c r="H111" s="128">
        <v>400</v>
      </c>
      <c r="I111" s="128">
        <v>400</v>
      </c>
      <c r="J111" s="128">
        <v>400</v>
      </c>
      <c r="K111" s="128">
        <v>400</v>
      </c>
      <c r="L111" s="128">
        <v>400</v>
      </c>
      <c r="M111" s="128">
        <v>400</v>
      </c>
      <c r="N111" s="158">
        <f t="shared" si="7"/>
        <v>4032.5053387539383</v>
      </c>
    </row>
    <row r="112" spans="1:14">
      <c r="A112" s="304" t="s">
        <v>659</v>
      </c>
      <c r="B112" s="158"/>
      <c r="C112" s="158"/>
      <c r="D112" s="158">
        <v>17300.213550157539</v>
      </c>
      <c r="E112" s="304">
        <v>16520.867999999999</v>
      </c>
      <c r="F112" s="304">
        <v>17071.563600000001</v>
      </c>
      <c r="G112" s="304">
        <v>19274.094720000001</v>
      </c>
      <c r="H112" s="304">
        <v>20125.905439999999</v>
      </c>
      <c r="I112" s="304">
        <v>20261.708750000002</v>
      </c>
      <c r="J112" s="304">
        <v>19601.2781</v>
      </c>
      <c r="K112" s="304">
        <v>20254.654030000002</v>
      </c>
      <c r="L112" s="304">
        <v>29403.418659999999</v>
      </c>
      <c r="M112" s="304">
        <v>31294.628369999999</v>
      </c>
      <c r="N112" s="158">
        <f t="shared" si="7"/>
        <v>211108.33322015754</v>
      </c>
    </row>
    <row r="113" spans="1:14">
      <c r="A113" s="304" t="s">
        <v>301</v>
      </c>
      <c r="B113" s="158"/>
      <c r="C113" s="158"/>
      <c r="D113" s="158"/>
      <c r="E113" s="159"/>
      <c r="F113" s="159"/>
      <c r="G113" s="159"/>
      <c r="H113" s="159"/>
      <c r="I113" s="159"/>
      <c r="J113" s="159"/>
      <c r="K113" s="159"/>
      <c r="L113" s="159"/>
      <c r="M113" s="167"/>
      <c r="N113" s="158">
        <f t="shared" si="7"/>
        <v>0</v>
      </c>
    </row>
    <row r="114" spans="1:14">
      <c r="A114" s="304" t="s">
        <v>660</v>
      </c>
      <c r="B114" s="158"/>
      <c r="C114" s="158"/>
      <c r="D114" s="158"/>
      <c r="E114" s="158"/>
      <c r="F114" s="158"/>
      <c r="G114" s="158"/>
      <c r="H114" s="158"/>
      <c r="I114" s="158"/>
      <c r="J114" s="158"/>
      <c r="K114" s="158"/>
      <c r="L114" s="158"/>
      <c r="M114" s="158"/>
      <c r="N114" s="158">
        <f t="shared" si="7"/>
        <v>0</v>
      </c>
    </row>
    <row r="115" spans="1:14">
      <c r="A115" s="304" t="s">
        <v>661</v>
      </c>
      <c r="B115" s="158"/>
      <c r="C115" s="158"/>
      <c r="D115" s="158">
        <v>14250</v>
      </c>
      <c r="E115" s="128">
        <v>14250</v>
      </c>
      <c r="F115" s="128">
        <v>14250</v>
      </c>
      <c r="G115" s="128">
        <v>14250</v>
      </c>
      <c r="H115" s="128">
        <v>14250</v>
      </c>
      <c r="I115" s="128">
        <v>14250</v>
      </c>
      <c r="J115" s="128">
        <v>14250</v>
      </c>
      <c r="K115" s="128">
        <v>14250</v>
      </c>
      <c r="L115" s="128">
        <v>14250</v>
      </c>
      <c r="M115" s="128">
        <v>14250</v>
      </c>
      <c r="N115" s="158">
        <f t="shared" si="7"/>
        <v>142500</v>
      </c>
    </row>
    <row r="116" spans="1:14">
      <c r="A116" s="304" t="s">
        <v>662</v>
      </c>
      <c r="B116" s="158"/>
      <c r="C116" s="158"/>
      <c r="D116" s="158">
        <v>8794</v>
      </c>
      <c r="E116" s="128">
        <v>8260.4339999999993</v>
      </c>
      <c r="F116" s="128">
        <v>10883.121800000001</v>
      </c>
      <c r="G116" s="128">
        <v>10118.899729999999</v>
      </c>
      <c r="H116" s="128">
        <v>10566.10036</v>
      </c>
      <c r="I116" s="128">
        <v>10637.39709</v>
      </c>
      <c r="J116" s="128">
        <v>10290.671</v>
      </c>
      <c r="K116" s="128">
        <v>10633.693370000001</v>
      </c>
      <c r="L116" s="128">
        <v>13231.538399999999</v>
      </c>
      <c r="M116" s="128">
        <v>14082.582770000001</v>
      </c>
      <c r="N116" s="158">
        <f t="shared" si="7"/>
        <v>107498.43852</v>
      </c>
    </row>
    <row r="117" spans="1:14">
      <c r="A117" s="304" t="s">
        <v>663</v>
      </c>
      <c r="B117" s="158"/>
      <c r="C117" s="158"/>
      <c r="D117" s="158">
        <v>2367</v>
      </c>
      <c r="E117" s="128">
        <v>2300</v>
      </c>
      <c r="F117" s="128">
        <v>2300</v>
      </c>
      <c r="G117" s="128">
        <v>2300</v>
      </c>
      <c r="H117" s="128">
        <v>2300</v>
      </c>
      <c r="I117" s="128">
        <v>2300</v>
      </c>
      <c r="J117" s="128">
        <v>2300</v>
      </c>
      <c r="K117" s="128">
        <v>2300</v>
      </c>
      <c r="L117" s="128">
        <v>2300</v>
      </c>
      <c r="M117" s="128">
        <v>2300</v>
      </c>
      <c r="N117" s="158">
        <f t="shared" si="7"/>
        <v>23067</v>
      </c>
    </row>
    <row r="118" spans="1:14">
      <c r="A118" s="304" t="s">
        <v>664</v>
      </c>
      <c r="B118" s="158"/>
      <c r="C118" s="158"/>
      <c r="D118" s="158">
        <v>3465</v>
      </c>
      <c r="E118" s="128">
        <v>4000</v>
      </c>
      <c r="F118" s="128">
        <v>4000</v>
      </c>
      <c r="G118" s="128">
        <v>4000</v>
      </c>
      <c r="H118" s="128">
        <v>4000</v>
      </c>
      <c r="I118" s="128">
        <v>4000</v>
      </c>
      <c r="J118" s="128">
        <v>4000</v>
      </c>
      <c r="K118" s="128">
        <v>4000</v>
      </c>
      <c r="L118" s="128">
        <v>4000</v>
      </c>
      <c r="M118" s="128">
        <v>4000</v>
      </c>
      <c r="N118" s="158">
        <f t="shared" si="7"/>
        <v>39465</v>
      </c>
    </row>
    <row r="119" spans="1:14">
      <c r="A119" s="304" t="s">
        <v>665</v>
      </c>
      <c r="B119" s="158"/>
      <c r="C119" s="158"/>
      <c r="D119" s="158"/>
      <c r="E119" s="128">
        <v>0</v>
      </c>
      <c r="F119" s="128">
        <v>0</v>
      </c>
      <c r="G119" s="128">
        <v>0</v>
      </c>
      <c r="H119" s="128">
        <v>0</v>
      </c>
      <c r="I119" s="128">
        <v>0</v>
      </c>
      <c r="J119" s="128">
        <v>0</v>
      </c>
      <c r="K119" s="128">
        <v>0</v>
      </c>
      <c r="L119" s="128">
        <v>0</v>
      </c>
      <c r="M119" s="128">
        <v>0</v>
      </c>
      <c r="N119" s="158">
        <f t="shared" si="7"/>
        <v>0</v>
      </c>
    </row>
    <row r="120" spans="1:14">
      <c r="A120" s="304" t="s">
        <v>666</v>
      </c>
      <c r="B120" s="158"/>
      <c r="C120" s="158"/>
      <c r="D120" s="158">
        <v>3243.7900406545386</v>
      </c>
      <c r="E120" s="128">
        <v>8000</v>
      </c>
      <c r="F120" s="128">
        <v>8000</v>
      </c>
      <c r="G120" s="128">
        <v>8000</v>
      </c>
      <c r="H120" s="128">
        <v>8000</v>
      </c>
      <c r="I120" s="128">
        <v>8000</v>
      </c>
      <c r="J120" s="128">
        <v>8000</v>
      </c>
      <c r="K120" s="128">
        <v>8000</v>
      </c>
      <c r="L120" s="128">
        <v>8000</v>
      </c>
      <c r="M120" s="128">
        <v>8000</v>
      </c>
      <c r="N120" s="158">
        <f t="shared" si="7"/>
        <v>75243.790040654538</v>
      </c>
    </row>
    <row r="121" spans="1:14">
      <c r="A121" s="304" t="s">
        <v>667</v>
      </c>
      <c r="B121" s="158"/>
      <c r="C121" s="158"/>
      <c r="D121" s="158">
        <v>7200</v>
      </c>
      <c r="E121" s="128">
        <v>7500</v>
      </c>
      <c r="F121" s="128">
        <v>8000</v>
      </c>
      <c r="G121" s="128">
        <v>9100</v>
      </c>
      <c r="H121" s="128">
        <v>9100</v>
      </c>
      <c r="I121" s="128">
        <v>9100</v>
      </c>
      <c r="J121" s="128">
        <v>9100</v>
      </c>
      <c r="K121" s="128">
        <v>8000</v>
      </c>
      <c r="L121" s="128">
        <v>7500</v>
      </c>
      <c r="M121" s="128">
        <v>7500</v>
      </c>
      <c r="N121" s="158">
        <f t="shared" si="7"/>
        <v>82100</v>
      </c>
    </row>
    <row r="122" spans="1:14">
      <c r="A122" s="304" t="s">
        <v>305</v>
      </c>
      <c r="B122" s="158"/>
      <c r="C122" s="158"/>
      <c r="D122" s="158"/>
      <c r="E122" s="158"/>
      <c r="F122" s="158"/>
      <c r="G122" s="158"/>
      <c r="H122" s="158"/>
      <c r="I122" s="158"/>
      <c r="J122" s="158"/>
      <c r="K122" s="158"/>
      <c r="L122" s="158"/>
      <c r="M122" s="158"/>
      <c r="N122" s="158">
        <f t="shared" si="7"/>
        <v>0</v>
      </c>
    </row>
    <row r="123" spans="1:14">
      <c r="A123" s="304" t="s">
        <v>94</v>
      </c>
      <c r="B123" s="158"/>
      <c r="C123" s="158"/>
      <c r="D123" s="158"/>
      <c r="E123" s="158"/>
      <c r="F123" s="158"/>
      <c r="G123" s="158"/>
      <c r="H123" s="158"/>
      <c r="I123" s="158"/>
      <c r="J123" s="158"/>
      <c r="K123" s="158"/>
      <c r="L123" s="158"/>
      <c r="M123" s="158"/>
      <c r="N123" s="158">
        <f t="shared" si="7"/>
        <v>0</v>
      </c>
    </row>
    <row r="124" spans="1:14">
      <c r="A124" s="304" t="s">
        <v>95</v>
      </c>
      <c r="B124" s="158"/>
      <c r="C124" s="158"/>
      <c r="D124" s="158"/>
      <c r="E124" s="158"/>
      <c r="F124" s="158"/>
      <c r="G124" s="158"/>
      <c r="H124" s="158"/>
      <c r="I124" s="158"/>
      <c r="J124" s="158"/>
      <c r="K124" s="158"/>
      <c r="L124" s="158"/>
      <c r="M124" s="158"/>
      <c r="N124" s="158">
        <f t="shared" si="7"/>
        <v>0</v>
      </c>
    </row>
    <row r="125" spans="1:14">
      <c r="A125" s="304" t="s">
        <v>306</v>
      </c>
      <c r="B125" s="158"/>
      <c r="C125" s="158"/>
      <c r="D125" s="158"/>
      <c r="E125" s="158"/>
      <c r="F125" s="158"/>
      <c r="G125" s="158"/>
      <c r="H125" s="158"/>
      <c r="I125" s="158"/>
      <c r="J125" s="158"/>
      <c r="K125" s="158"/>
      <c r="L125" s="158"/>
      <c r="M125" s="158"/>
      <c r="N125" s="158">
        <f t="shared" si="7"/>
        <v>0</v>
      </c>
    </row>
    <row r="126" spans="1:14">
      <c r="A126" s="304" t="s">
        <v>92</v>
      </c>
      <c r="B126" s="158"/>
      <c r="C126" s="158"/>
      <c r="D126" s="158"/>
      <c r="E126" s="158"/>
      <c r="F126" s="158"/>
      <c r="G126" s="158"/>
      <c r="H126" s="158"/>
      <c r="I126" s="158"/>
      <c r="J126" s="158"/>
      <c r="K126" s="158"/>
      <c r="L126" s="158"/>
      <c r="M126" s="158"/>
      <c r="N126" s="158">
        <f t="shared" si="7"/>
        <v>0</v>
      </c>
    </row>
    <row r="127" spans="1:14">
      <c r="A127" s="304" t="s">
        <v>97</v>
      </c>
      <c r="B127" s="158"/>
      <c r="C127" s="158"/>
      <c r="D127" s="158"/>
      <c r="E127" s="158"/>
      <c r="F127" s="158"/>
      <c r="G127" s="158"/>
      <c r="H127" s="158"/>
      <c r="I127" s="158"/>
      <c r="J127" s="158"/>
      <c r="K127" s="158"/>
      <c r="L127" s="158"/>
      <c r="M127" s="158"/>
      <c r="N127" s="158">
        <f t="shared" si="7"/>
        <v>0</v>
      </c>
    </row>
    <row r="128" spans="1:14">
      <c r="A128" s="304" t="s">
        <v>98</v>
      </c>
      <c r="B128" s="158">
        <v>0</v>
      </c>
      <c r="C128" s="158">
        <v>0</v>
      </c>
      <c r="D128" s="158">
        <v>0</v>
      </c>
      <c r="E128" s="161"/>
      <c r="F128" s="161"/>
      <c r="G128" s="161"/>
      <c r="H128" s="161"/>
      <c r="I128" s="161"/>
      <c r="J128" s="161"/>
      <c r="K128" s="161"/>
      <c r="L128" s="161"/>
      <c r="N128" s="158">
        <f t="shared" si="7"/>
        <v>0</v>
      </c>
    </row>
    <row r="129" spans="2:14">
      <c r="B129" s="128">
        <f t="shared" ref="B129:N129" si="8">B31-SUM(B33:B128)</f>
        <v>0</v>
      </c>
      <c r="C129" s="128">
        <f t="shared" si="8"/>
        <v>0</v>
      </c>
      <c r="D129" s="128">
        <f t="shared" si="8"/>
        <v>-1912.4353137372527</v>
      </c>
      <c r="E129" s="128">
        <f t="shared" si="8"/>
        <v>6751.6299398000119</v>
      </c>
      <c r="F129" s="128">
        <f t="shared" si="8"/>
        <v>4996.7944698999636</v>
      </c>
      <c r="G129" s="128">
        <f t="shared" si="8"/>
        <v>10857.93971751997</v>
      </c>
      <c r="H129" s="128">
        <f t="shared" si="8"/>
        <v>8185.6052977001527</v>
      </c>
      <c r="I129" s="128">
        <f t="shared" si="8"/>
        <v>9684.4801145999809</v>
      </c>
      <c r="J129" s="128">
        <f t="shared" si="8"/>
        <v>4216.7287521201652</v>
      </c>
      <c r="K129" s="128">
        <f t="shared" si="8"/>
        <v>6462.1738812000258</v>
      </c>
      <c r="L129" s="128">
        <f t="shared" si="8"/>
        <v>50987.42719899962</v>
      </c>
      <c r="M129" s="128">
        <f t="shared" si="8"/>
        <v>60523.502373400028</v>
      </c>
      <c r="N129" s="128">
        <f t="shared" si="8"/>
        <v>160753.84643150214</v>
      </c>
    </row>
    <row r="130" spans="2:14">
      <c r="B130" s="158"/>
    </row>
  </sheetData>
  <conditionalFormatting sqref="C61 C94 B14:C14 M47:M49 M115:M116 E61:G61 C80:C91 E80:G91 E94:G94">
    <cfRule type="cellIs" dxfId="1190" priority="122" operator="lessThan">
      <formula>0</formula>
    </cfRule>
  </conditionalFormatting>
  <conditionalFormatting sqref="B14:C14">
    <cfRule type="cellIs" dxfId="1189" priority="123" operator="lessThan">
      <formula>0</formula>
    </cfRule>
  </conditionalFormatting>
  <conditionalFormatting sqref="B14:C14">
    <cfRule type="cellIs" dxfId="1188" priority="124" operator="lessThan">
      <formula>0</formula>
    </cfRule>
  </conditionalFormatting>
  <conditionalFormatting sqref="C54 E54:G54">
    <cfRule type="cellIs" dxfId="1187" priority="121" operator="lessThan">
      <formula>0</formula>
    </cfRule>
  </conditionalFormatting>
  <conditionalFormatting sqref="C64 E64:G64">
    <cfRule type="cellIs" dxfId="1186" priority="120" operator="lessThan">
      <formula>0</formula>
    </cfRule>
  </conditionalFormatting>
  <conditionalFormatting sqref="C70:C72 E70:G72">
    <cfRule type="cellIs" dxfId="1185" priority="119" operator="lessThan">
      <formula>0</formula>
    </cfRule>
  </conditionalFormatting>
  <conditionalFormatting sqref="C79 E79:G79">
    <cfRule type="cellIs" dxfId="1184" priority="117" operator="lessThan">
      <formula>0</formula>
    </cfRule>
  </conditionalFormatting>
  <conditionalFormatting sqref="C79 E79:G79">
    <cfRule type="cellIs" dxfId="1183" priority="118" operator="lessThan">
      <formula>0</formula>
    </cfRule>
  </conditionalFormatting>
  <conditionalFormatting sqref="C78 E78:G78">
    <cfRule type="cellIs" dxfId="1182" priority="115" operator="lessThan">
      <formula>0</formula>
    </cfRule>
  </conditionalFormatting>
  <conditionalFormatting sqref="C78 E78:G78">
    <cfRule type="cellIs" dxfId="1181" priority="116" operator="lessThan">
      <formula>0</formula>
    </cfRule>
  </conditionalFormatting>
  <conditionalFormatting sqref="C80:C85 E80:G85">
    <cfRule type="cellIs" dxfId="1180" priority="114" operator="lessThan">
      <formula>0</formula>
    </cfRule>
  </conditionalFormatting>
  <conditionalFormatting sqref="C96:C102 E96:G102">
    <cfRule type="cellIs" dxfId="1179" priority="113" operator="lessThan">
      <formula>0</formula>
    </cfRule>
  </conditionalFormatting>
  <conditionalFormatting sqref="M110 C109:G110">
    <cfRule type="cellIs" dxfId="1178" priority="112" operator="lessThan">
      <formula>0</formula>
    </cfRule>
  </conditionalFormatting>
  <conditionalFormatting sqref="C121 E121:G121">
    <cfRule type="cellIs" dxfId="1177" priority="111" operator="lessThan">
      <formula>0</formula>
    </cfRule>
  </conditionalFormatting>
  <conditionalFormatting sqref="C112 E112:G112">
    <cfRule type="cellIs" dxfId="1176" priority="110" operator="lessThan">
      <formula>0</formula>
    </cfRule>
  </conditionalFormatting>
  <conditionalFormatting sqref="C113:G113">
    <cfRule type="cellIs" dxfId="1175" priority="109" operator="lessThan">
      <formula>0</formula>
    </cfRule>
  </conditionalFormatting>
  <conditionalFormatting sqref="M19:M21">
    <cfRule type="cellIs" dxfId="1174" priority="106" operator="lessThan">
      <formula>0</formula>
    </cfRule>
  </conditionalFormatting>
  <conditionalFormatting sqref="M21">
    <cfRule type="cellIs" dxfId="1173" priority="107" operator="lessThan">
      <formula>0</formula>
    </cfRule>
  </conditionalFormatting>
  <conditionalFormatting sqref="M21">
    <cfRule type="cellIs" dxfId="1172" priority="108" operator="lessThan">
      <formula>0</formula>
    </cfRule>
  </conditionalFormatting>
  <conditionalFormatting sqref="M51">
    <cfRule type="cellIs" dxfId="1171" priority="103" operator="lessThan">
      <formula>0</formula>
    </cfRule>
  </conditionalFormatting>
  <conditionalFormatting sqref="M50">
    <cfRule type="cellIs" dxfId="1170" priority="104" operator="lessThan">
      <formula>0</formula>
    </cfRule>
  </conditionalFormatting>
  <conditionalFormatting sqref="M50">
    <cfRule type="cellIs" dxfId="1169" priority="105" operator="lessThan">
      <formula>0</formula>
    </cfRule>
  </conditionalFormatting>
  <conditionalFormatting sqref="M18">
    <cfRule type="cellIs" dxfId="1168" priority="95" operator="lessThan">
      <formula>0</formula>
    </cfRule>
  </conditionalFormatting>
  <conditionalFormatting sqref="M18">
    <cfRule type="cellIs" dxfId="1167" priority="97" operator="lessThan">
      <formula>0</formula>
    </cfRule>
  </conditionalFormatting>
  <conditionalFormatting sqref="M18">
    <cfRule type="cellIs" dxfId="1166" priority="98" operator="lessThan">
      <formula>0</formula>
    </cfRule>
  </conditionalFormatting>
  <conditionalFormatting sqref="M13 M15:M18">
    <cfRule type="cellIs" dxfId="1165" priority="99" operator="lessThan">
      <formula>0</formula>
    </cfRule>
  </conditionalFormatting>
  <conditionalFormatting sqref="M109">
    <cfRule type="cellIs" dxfId="1164" priority="100" operator="lessThan">
      <formula>0</formula>
    </cfRule>
  </conditionalFormatting>
  <conditionalFormatting sqref="M109">
    <cfRule type="cellIs" dxfId="1163" priority="101" operator="lessThan">
      <formula>0</formula>
    </cfRule>
  </conditionalFormatting>
  <conditionalFormatting sqref="M109">
    <cfRule type="cellIs" dxfId="1162" priority="102" operator="lessThan">
      <formula>0</formula>
    </cfRule>
  </conditionalFormatting>
  <conditionalFormatting sqref="M18">
    <cfRule type="cellIs" dxfId="1161" priority="96" operator="lessThan">
      <formula>0</formula>
    </cfRule>
  </conditionalFormatting>
  <conditionalFormatting sqref="M18">
    <cfRule type="cellIs" dxfId="1160" priority="94" operator="lessThan">
      <formula>0</formula>
    </cfRule>
  </conditionalFormatting>
  <conditionalFormatting sqref="M33:M37 M39:M43">
    <cfRule type="cellIs" dxfId="1159" priority="87" operator="lessThan">
      <formula>0</formula>
    </cfRule>
  </conditionalFormatting>
  <conditionalFormatting sqref="M34:M37 M39:M40">
    <cfRule type="cellIs" dxfId="1158" priority="88" operator="lessThan">
      <formula>0</formula>
    </cfRule>
  </conditionalFormatting>
  <conditionalFormatting sqref="M34:M37 M39:M40">
    <cfRule type="cellIs" dxfId="1157" priority="89" operator="lessThan">
      <formula>0</formula>
    </cfRule>
  </conditionalFormatting>
  <conditionalFormatting sqref="M41:M42">
    <cfRule type="cellIs" dxfId="1156" priority="90" operator="lessThan">
      <formula>0</formula>
    </cfRule>
  </conditionalFormatting>
  <conditionalFormatting sqref="M39:M40">
    <cfRule type="cellIs" dxfId="1155" priority="91" operator="lessThan">
      <formula>0</formula>
    </cfRule>
  </conditionalFormatting>
  <conditionalFormatting sqref="M33">
    <cfRule type="cellIs" dxfId="1154" priority="92" operator="lessThan">
      <formula>0</formula>
    </cfRule>
  </conditionalFormatting>
  <conditionalFormatting sqref="M33">
    <cfRule type="cellIs" dxfId="1153" priority="93" operator="lessThan">
      <formula>0</formula>
    </cfRule>
  </conditionalFormatting>
  <conditionalFormatting sqref="M45:M47 M49">
    <cfRule type="cellIs" dxfId="1152" priority="82" operator="lessThan">
      <formula>0</formula>
    </cfRule>
  </conditionalFormatting>
  <conditionalFormatting sqref="M45">
    <cfRule type="cellIs" dxfId="1151" priority="83" operator="lessThan">
      <formula>0</formula>
    </cfRule>
  </conditionalFormatting>
  <conditionalFormatting sqref="M45">
    <cfRule type="cellIs" dxfId="1150" priority="84" operator="lessThan">
      <formula>0</formula>
    </cfRule>
  </conditionalFormatting>
  <conditionalFormatting sqref="M46">
    <cfRule type="cellIs" dxfId="1149" priority="85" operator="lessThan">
      <formula>0</formula>
    </cfRule>
  </conditionalFormatting>
  <conditionalFormatting sqref="M49">
    <cfRule type="cellIs" dxfId="1148" priority="86" operator="lessThan">
      <formula>0</formula>
    </cfRule>
  </conditionalFormatting>
  <conditionalFormatting sqref="M53:M60 M62:M63">
    <cfRule type="cellIs" dxfId="1147" priority="79" operator="lessThan">
      <formula>0</formula>
    </cfRule>
  </conditionalFormatting>
  <conditionalFormatting sqref="M57">
    <cfRule type="cellIs" dxfId="1146" priority="80" operator="lessThan">
      <formula>0</formula>
    </cfRule>
  </conditionalFormatting>
  <conditionalFormatting sqref="M53:M57">
    <cfRule type="cellIs" dxfId="1145" priority="81" operator="lessThan">
      <formula>0</formula>
    </cfRule>
  </conditionalFormatting>
  <conditionalFormatting sqref="M64:M68">
    <cfRule type="cellIs" dxfId="1144" priority="77" operator="lessThan">
      <formula>0</formula>
    </cfRule>
  </conditionalFormatting>
  <conditionalFormatting sqref="M64:M68">
    <cfRule type="cellIs" dxfId="1143" priority="78" operator="lessThan">
      <formula>0</formula>
    </cfRule>
  </conditionalFormatting>
  <conditionalFormatting sqref="M70:M72">
    <cfRule type="cellIs" dxfId="1142" priority="75" operator="lessThan">
      <formula>0</formula>
    </cfRule>
  </conditionalFormatting>
  <conditionalFormatting sqref="M70:M72">
    <cfRule type="cellIs" dxfId="1141" priority="76" operator="lessThan">
      <formula>0</formula>
    </cfRule>
  </conditionalFormatting>
  <conditionalFormatting sqref="M87:M89 M73:M85">
    <cfRule type="cellIs" dxfId="1140" priority="63" operator="lessThan">
      <formula>0</formula>
    </cfRule>
  </conditionalFormatting>
  <conditionalFormatting sqref="M87:M88">
    <cfRule type="cellIs" dxfId="1139" priority="64" operator="lessThan">
      <formula>0</formula>
    </cfRule>
  </conditionalFormatting>
  <conditionalFormatting sqref="M73 M76:M78 M81:M85 M88">
    <cfRule type="cellIs" dxfId="1138" priority="65" operator="lessThan">
      <formula>0</formula>
    </cfRule>
  </conditionalFormatting>
  <conditionalFormatting sqref="M75">
    <cfRule type="cellIs" dxfId="1137" priority="66" operator="lessThan">
      <formula>0</formula>
    </cfRule>
  </conditionalFormatting>
  <conditionalFormatting sqref="M79">
    <cfRule type="cellIs" dxfId="1136" priority="67" operator="lessThan">
      <formula>0</formula>
    </cfRule>
  </conditionalFormatting>
  <conditionalFormatting sqref="M74">
    <cfRule type="cellIs" dxfId="1135" priority="68" operator="lessThan">
      <formula>0</formula>
    </cfRule>
  </conditionalFormatting>
  <conditionalFormatting sqref="M74">
    <cfRule type="cellIs" dxfId="1134" priority="69" operator="lessThan">
      <formula>0</formula>
    </cfRule>
  </conditionalFormatting>
  <conditionalFormatting sqref="M80">
    <cfRule type="cellIs" dxfId="1133" priority="70" operator="lessThan">
      <formula>0</formula>
    </cfRule>
  </conditionalFormatting>
  <conditionalFormatting sqref="M89">
    <cfRule type="cellIs" dxfId="1132" priority="71" operator="lessThan">
      <formula>0</formula>
    </cfRule>
  </conditionalFormatting>
  <conditionalFormatting sqref="M87">
    <cfRule type="cellIs" dxfId="1131" priority="72" operator="lessThan">
      <formula>0</formula>
    </cfRule>
  </conditionalFormatting>
  <conditionalFormatting sqref="M86">
    <cfRule type="cellIs" dxfId="1130" priority="73" operator="lessThan">
      <formula>0</formula>
    </cfRule>
  </conditionalFormatting>
  <conditionalFormatting sqref="M78">
    <cfRule type="cellIs" dxfId="1129" priority="74" operator="lessThan">
      <formula>0</formula>
    </cfRule>
  </conditionalFormatting>
  <conditionalFormatting sqref="M61">
    <cfRule type="cellIs" dxfId="1128" priority="61" operator="lessThan">
      <formula>0</formula>
    </cfRule>
  </conditionalFormatting>
  <conditionalFormatting sqref="M61">
    <cfRule type="cellIs" dxfId="1127" priority="62" operator="lessThan">
      <formula>0</formula>
    </cfRule>
  </conditionalFormatting>
  <conditionalFormatting sqref="M90:M94">
    <cfRule type="cellIs" dxfId="1126" priority="58" operator="lessThan">
      <formula>0</formula>
    </cfRule>
  </conditionalFormatting>
  <conditionalFormatting sqref="M90 M94">
    <cfRule type="cellIs" dxfId="1125" priority="59" operator="lessThan">
      <formula>0</formula>
    </cfRule>
  </conditionalFormatting>
  <conditionalFormatting sqref="M91:M93">
    <cfRule type="cellIs" dxfId="1124" priority="60" operator="lessThan">
      <formula>0</formula>
    </cfRule>
  </conditionalFormatting>
  <conditionalFormatting sqref="M96:M99 M101:M102">
    <cfRule type="cellIs" dxfId="1123" priority="55" operator="lessThan">
      <formula>0</formula>
    </cfRule>
  </conditionalFormatting>
  <conditionalFormatting sqref="M96:M99 M101:M102">
    <cfRule type="cellIs" dxfId="1122" priority="56" operator="lessThan">
      <formula>0</formula>
    </cfRule>
  </conditionalFormatting>
  <conditionalFormatting sqref="M100">
    <cfRule type="cellIs" dxfId="1121" priority="57" operator="lessThan">
      <formula>0</formula>
    </cfRule>
  </conditionalFormatting>
  <conditionalFormatting sqref="M115 M120:M121">
    <cfRule type="cellIs" dxfId="1120" priority="52" operator="lessThan">
      <formula>0</formula>
    </cfRule>
  </conditionalFormatting>
  <conditionalFormatting sqref="M118:M121">
    <cfRule type="cellIs" dxfId="1119" priority="53" operator="lessThan">
      <formula>0</formula>
    </cfRule>
  </conditionalFormatting>
  <conditionalFormatting sqref="M117">
    <cfRule type="cellIs" dxfId="1118" priority="54" operator="lessThan">
      <formula>0</formula>
    </cfRule>
  </conditionalFormatting>
  <conditionalFormatting sqref="M113">
    <cfRule type="cellIs" dxfId="1117" priority="49" operator="lessThan">
      <formula>0</formula>
    </cfRule>
  </conditionalFormatting>
  <conditionalFormatting sqref="M113">
    <cfRule type="cellIs" dxfId="1116" priority="50" operator="lessThan">
      <formula>0</formula>
    </cfRule>
  </conditionalFormatting>
  <conditionalFormatting sqref="M112">
    <cfRule type="cellIs" dxfId="1115" priority="51" operator="lessThan">
      <formula>0</formula>
    </cfRule>
  </conditionalFormatting>
  <conditionalFormatting sqref="H61:L61 H80:L91 H94:L94">
    <cfRule type="cellIs" dxfId="1114" priority="48" operator="lessThan">
      <formula>0</formula>
    </cfRule>
  </conditionalFormatting>
  <conditionalFormatting sqref="H54:L54">
    <cfRule type="cellIs" dxfId="1113" priority="47" operator="lessThan">
      <formula>0</formula>
    </cfRule>
  </conditionalFormatting>
  <conditionalFormatting sqref="H64:L64">
    <cfRule type="cellIs" dxfId="1112" priority="46" operator="lessThan">
      <formula>0</formula>
    </cfRule>
  </conditionalFormatting>
  <conditionalFormatting sqref="H70:L72">
    <cfRule type="cellIs" dxfId="1111" priority="45" operator="lessThan">
      <formula>0</formula>
    </cfRule>
  </conditionalFormatting>
  <conditionalFormatting sqref="H79:L79">
    <cfRule type="cellIs" dxfId="1110" priority="43" operator="lessThan">
      <formula>0</formula>
    </cfRule>
  </conditionalFormatting>
  <conditionalFormatting sqref="H79:L79">
    <cfRule type="cellIs" dxfId="1109" priority="44" operator="lessThan">
      <formula>0</formula>
    </cfRule>
  </conditionalFormatting>
  <conditionalFormatting sqref="H78:L78">
    <cfRule type="cellIs" dxfId="1108" priority="41" operator="lessThan">
      <formula>0</formula>
    </cfRule>
  </conditionalFormatting>
  <conditionalFormatting sqref="H78:L78">
    <cfRule type="cellIs" dxfId="1107" priority="42" operator="lessThan">
      <formula>0</formula>
    </cfRule>
  </conditionalFormatting>
  <conditionalFormatting sqref="H80:L85">
    <cfRule type="cellIs" dxfId="1106" priority="40" operator="lessThan">
      <formula>0</formula>
    </cfRule>
  </conditionalFormatting>
  <conditionalFormatting sqref="H96:L102">
    <cfRule type="cellIs" dxfId="1105" priority="39" operator="lessThan">
      <formula>0</formula>
    </cfRule>
  </conditionalFormatting>
  <conditionalFormatting sqref="H109:L110">
    <cfRule type="cellIs" dxfId="1104" priority="38" operator="lessThan">
      <formula>0</formula>
    </cfRule>
  </conditionalFormatting>
  <conditionalFormatting sqref="H121:L121">
    <cfRule type="cellIs" dxfId="1103" priority="37" operator="lessThan">
      <formula>0</formula>
    </cfRule>
  </conditionalFormatting>
  <conditionalFormatting sqref="H112:L112">
    <cfRule type="cellIs" dxfId="1102" priority="36" operator="lessThan">
      <formula>0</formula>
    </cfRule>
  </conditionalFormatting>
  <conditionalFormatting sqref="H113:L113">
    <cfRule type="cellIs" dxfId="1101" priority="35" operator="lessThan">
      <formula>0</formula>
    </cfRule>
  </conditionalFormatting>
  <conditionalFormatting sqref="J12:M12">
    <cfRule type="cellIs" dxfId="1100" priority="34" operator="lessThan">
      <formula>0</formula>
    </cfRule>
  </conditionalFormatting>
  <conditionalFormatting sqref="E12:I12">
    <cfRule type="cellIs" dxfId="1099" priority="33" operator="lessThan">
      <formula>0</formula>
    </cfRule>
  </conditionalFormatting>
  <conditionalFormatting sqref="E12:M12">
    <cfRule type="cellIs" dxfId="1098" priority="32" operator="lessThan">
      <formula>0</formula>
    </cfRule>
  </conditionalFormatting>
  <conditionalFormatting sqref="F12:M12">
    <cfRule type="cellIs" dxfId="1097" priority="31" operator="lessThan">
      <formula>0</formula>
    </cfRule>
  </conditionalFormatting>
  <conditionalFormatting sqref="G12:M12">
    <cfRule type="cellIs" dxfId="1096" priority="125" operator="lessThan">
      <formula>0</formula>
    </cfRule>
  </conditionalFormatting>
  <conditionalFormatting sqref="H12:I12">
    <cfRule type="cellIs" dxfId="1095" priority="126" operator="lessThan">
      <formula>0</formula>
    </cfRule>
  </conditionalFormatting>
  <conditionalFormatting sqref="I12">
    <cfRule type="cellIs" dxfId="1094" priority="127" operator="lessThan">
      <formula>0</formula>
    </cfRule>
  </conditionalFormatting>
  <conditionalFormatting sqref="J14:M14">
    <cfRule type="cellIs" dxfId="1093" priority="30" operator="lessThan">
      <formula>0</formula>
    </cfRule>
  </conditionalFormatting>
  <conditionalFormatting sqref="E14:I14">
    <cfRule type="cellIs" dxfId="1092" priority="29" operator="lessThan">
      <formula>0</formula>
    </cfRule>
  </conditionalFormatting>
  <conditionalFormatting sqref="E14:M14">
    <cfRule type="cellIs" dxfId="1091" priority="28" operator="lessThan">
      <formula>0</formula>
    </cfRule>
  </conditionalFormatting>
  <conditionalFormatting sqref="E14:M14">
    <cfRule type="cellIs" dxfId="1090" priority="27" operator="lessThan">
      <formula>0</formula>
    </cfRule>
  </conditionalFormatting>
  <conditionalFormatting sqref="E14:M14">
    <cfRule type="cellIs" dxfId="1089" priority="26" operator="lessThan">
      <formula>0</formula>
    </cfRule>
  </conditionalFormatting>
  <conditionalFormatting sqref="F14:M14">
    <cfRule type="cellIs" dxfId="1088" priority="25" operator="lessThan">
      <formula>0</formula>
    </cfRule>
  </conditionalFormatting>
  <conditionalFormatting sqref="F14:M14">
    <cfRule type="cellIs" dxfId="1087" priority="24" operator="lessThan">
      <formula>0</formula>
    </cfRule>
  </conditionalFormatting>
  <conditionalFormatting sqref="G14:M14">
    <cfRule type="cellIs" dxfId="1086" priority="128" operator="lessThan">
      <formula>0</formula>
    </cfRule>
  </conditionalFormatting>
  <conditionalFormatting sqref="G14:M14">
    <cfRule type="cellIs" dxfId="1085" priority="129" operator="lessThan">
      <formula>0</formula>
    </cfRule>
  </conditionalFormatting>
  <conditionalFormatting sqref="H14:M14">
    <cfRule type="cellIs" dxfId="1084" priority="130" operator="lessThan">
      <formula>0</formula>
    </cfRule>
  </conditionalFormatting>
  <conditionalFormatting sqref="H14:I14">
    <cfRule type="cellIs" dxfId="1083" priority="131" operator="lessThan">
      <formula>0</formula>
    </cfRule>
  </conditionalFormatting>
  <conditionalFormatting sqref="I14">
    <cfRule type="cellIs" dxfId="1082" priority="132" operator="lessThan">
      <formula>0</formula>
    </cfRule>
  </conditionalFormatting>
  <conditionalFormatting sqref="I14">
    <cfRule type="cellIs" dxfId="1081" priority="133" operator="lessThan">
      <formula>0</formula>
    </cfRule>
  </conditionalFormatting>
  <conditionalFormatting sqref="M38">
    <cfRule type="cellIs" dxfId="1080" priority="21" operator="lessThan">
      <formula>0</formula>
    </cfRule>
  </conditionalFormatting>
  <conditionalFormatting sqref="M38">
    <cfRule type="cellIs" dxfId="1079" priority="22" operator="lessThan">
      <formula>0</formula>
    </cfRule>
  </conditionalFormatting>
  <conditionalFormatting sqref="M38">
    <cfRule type="cellIs" dxfId="1078" priority="23" operator="lessThan">
      <formula>0</formula>
    </cfRule>
  </conditionalFormatting>
  <conditionalFormatting sqref="E111:G111 M111">
    <cfRule type="cellIs" dxfId="1077" priority="20" operator="lessThan">
      <formula>0</formula>
    </cfRule>
  </conditionalFormatting>
  <conditionalFormatting sqref="H111:L111">
    <cfRule type="cellIs" dxfId="1076" priority="19" operator="lessThan">
      <formula>0</formula>
    </cfRule>
  </conditionalFormatting>
  <conditionalFormatting sqref="D14">
    <cfRule type="cellIs" dxfId="1075" priority="16" operator="lessThan">
      <formula>0</formula>
    </cfRule>
  </conditionalFormatting>
  <conditionalFormatting sqref="D14">
    <cfRule type="cellIs" dxfId="1074" priority="17" operator="lessThan">
      <formula>0</formula>
    </cfRule>
  </conditionalFormatting>
  <conditionalFormatting sqref="D14">
    <cfRule type="cellIs" dxfId="1073" priority="18" operator="lessThan">
      <formula>0</formula>
    </cfRule>
  </conditionalFormatting>
  <conditionalFormatting sqref="D61">
    <cfRule type="cellIs" dxfId="1072" priority="15" operator="lessThan">
      <formula>0</formula>
    </cfRule>
  </conditionalFormatting>
  <conditionalFormatting sqref="D54">
    <cfRule type="cellIs" dxfId="1071" priority="14" operator="lessThan">
      <formula>0</formula>
    </cfRule>
  </conditionalFormatting>
  <conditionalFormatting sqref="D64">
    <cfRule type="cellIs" dxfId="1070" priority="13" operator="lessThan">
      <formula>0</formula>
    </cfRule>
  </conditionalFormatting>
  <conditionalFormatting sqref="D70:D72">
    <cfRule type="cellIs" dxfId="1069" priority="12" operator="lessThan">
      <formula>0</formula>
    </cfRule>
  </conditionalFormatting>
  <conditionalFormatting sqref="D79">
    <cfRule type="cellIs" dxfId="1068" priority="10" operator="lessThan">
      <formula>0</formula>
    </cfRule>
  </conditionalFormatting>
  <conditionalFormatting sqref="D79">
    <cfRule type="cellIs" dxfId="1067" priority="11" operator="lessThan">
      <formula>0</formula>
    </cfRule>
  </conditionalFormatting>
  <conditionalFormatting sqref="D78">
    <cfRule type="cellIs" dxfId="1066" priority="8" operator="lessThan">
      <formula>0</formula>
    </cfRule>
  </conditionalFormatting>
  <conditionalFormatting sqref="D78">
    <cfRule type="cellIs" dxfId="1065" priority="9" operator="lessThan">
      <formula>0</formula>
    </cfRule>
  </conditionalFormatting>
  <conditionalFormatting sqref="D80:D86">
    <cfRule type="cellIs" dxfId="1064" priority="7" operator="lessThan">
      <formula>0</formula>
    </cfRule>
  </conditionalFormatting>
  <conditionalFormatting sqref="D80:D85">
    <cfRule type="cellIs" dxfId="1063" priority="6" operator="lessThan">
      <formula>0</formula>
    </cfRule>
  </conditionalFormatting>
  <conditionalFormatting sqref="D87:D91">
    <cfRule type="cellIs" dxfId="1062" priority="5" operator="lessThan">
      <formula>0</formula>
    </cfRule>
  </conditionalFormatting>
  <conditionalFormatting sqref="D94">
    <cfRule type="cellIs" dxfId="1061" priority="4" operator="lessThan">
      <formula>0</formula>
    </cfRule>
  </conditionalFormatting>
  <conditionalFormatting sqref="D96:D102">
    <cfRule type="cellIs" dxfId="1060" priority="3" operator="lessThan">
      <formula>0</formula>
    </cfRule>
  </conditionalFormatting>
  <conditionalFormatting sqref="D112">
    <cfRule type="cellIs" dxfId="1059" priority="2" operator="lessThan">
      <formula>0</formula>
    </cfRule>
  </conditionalFormatting>
  <conditionalFormatting sqref="D121">
    <cfRule type="cellIs" dxfId="1058" priority="1" operator="less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P355"/>
  <sheetViews>
    <sheetView topLeftCell="A61" workbookViewId="0"/>
  </sheetViews>
  <sheetFormatPr defaultColWidth="14" defaultRowHeight="14.4" outlineLevelCol="1"/>
  <cols>
    <col min="1" max="1" width="14.44140625" style="304" customWidth="1"/>
    <col min="2" max="2" width="19.33203125" style="304" customWidth="1" outlineLevel="1"/>
    <col min="3" max="3" width="16.88671875" style="304" customWidth="1"/>
    <col min="4" max="10" width="10.33203125" style="304" customWidth="1"/>
    <col min="11" max="11" width="8.33203125" style="304" customWidth="1"/>
    <col min="12" max="12" width="10.33203125" style="304" customWidth="1"/>
    <col min="13" max="13" width="8.33203125" style="304" customWidth="1"/>
    <col min="14" max="14" width="10.33203125" style="304" customWidth="1"/>
    <col min="15" max="15" width="8.33203125" style="304" customWidth="1"/>
    <col min="16" max="16" width="10.33203125" style="304" customWidth="1"/>
    <col min="17" max="17" width="8.33203125" style="304" customWidth="1"/>
    <col min="18" max="18" width="10.33203125" style="304" customWidth="1"/>
    <col min="19" max="19" width="8.33203125" style="304" customWidth="1"/>
    <col min="20" max="20" width="10.33203125" style="304" customWidth="1"/>
    <col min="21" max="21" width="8.33203125" style="304" customWidth="1"/>
    <col min="22" max="22" width="10.33203125" style="304" customWidth="1"/>
    <col min="23" max="23" width="8.33203125" style="304" customWidth="1"/>
    <col min="24" max="24" width="10.33203125" style="304" customWidth="1"/>
    <col min="25" max="25" width="8.33203125" style="304" customWidth="1"/>
    <col min="26" max="26" width="10.33203125" style="304" customWidth="1"/>
    <col min="27" max="27" width="8.33203125" style="304" customWidth="1"/>
    <col min="28" max="28" width="10.33203125" style="304" customWidth="1"/>
    <col min="29" max="29" width="8.33203125" style="304" customWidth="1"/>
    <col min="30" max="30" width="10.33203125" style="304" customWidth="1"/>
    <col min="31" max="31" width="8.33203125" style="304" customWidth="1"/>
    <col min="32" max="32" width="10.33203125" style="304" customWidth="1"/>
    <col min="33" max="33" width="8.33203125" style="304" customWidth="1"/>
    <col min="34" max="34" width="11.33203125" style="304" customWidth="1"/>
    <col min="35" max="35" width="7.88671875" style="304" customWidth="1"/>
    <col min="36" max="36" width="8.6640625" style="304" bestFit="1" customWidth="1"/>
    <col min="37" max="41" width="5.44140625" style="304" customWidth="1"/>
    <col min="42" max="42" width="13.6640625" style="304" customWidth="1"/>
    <col min="43" max="16384" width="14" style="304"/>
  </cols>
  <sheetData>
    <row r="1" spans="1:42">
      <c r="A1" s="303"/>
      <c r="B1" s="303"/>
      <c r="C1" s="303"/>
      <c r="D1" s="303"/>
      <c r="E1" s="303"/>
      <c r="F1" s="303"/>
      <c r="G1" s="303"/>
      <c r="H1" s="306"/>
      <c r="I1" s="306"/>
      <c r="J1" s="306"/>
      <c r="K1" s="306"/>
      <c r="L1" s="306"/>
      <c r="M1" s="306"/>
      <c r="N1" s="303"/>
      <c r="O1" s="303"/>
      <c r="P1" s="303"/>
      <c r="Q1" s="303"/>
      <c r="R1" s="303"/>
      <c r="S1" s="303"/>
      <c r="T1" s="316"/>
      <c r="U1" s="317"/>
      <c r="V1" s="316"/>
      <c r="W1" s="317"/>
      <c r="X1" s="303"/>
      <c r="Y1" s="303"/>
      <c r="Z1" s="303"/>
      <c r="AA1" s="303"/>
      <c r="AB1" s="316"/>
      <c r="AC1" s="317"/>
      <c r="AD1" s="303"/>
      <c r="AE1" s="303"/>
      <c r="AF1" s="303"/>
      <c r="AG1" s="303"/>
      <c r="AH1" s="303"/>
      <c r="AI1" s="303"/>
      <c r="AJ1" s="303"/>
      <c r="AK1" s="303"/>
      <c r="AL1" s="303"/>
      <c r="AM1" s="303"/>
      <c r="AN1" s="303"/>
      <c r="AO1" s="303"/>
      <c r="AP1" s="303"/>
    </row>
    <row r="2" spans="1:42">
      <c r="A2" s="303"/>
      <c r="B2" s="303"/>
      <c r="C2" s="303"/>
      <c r="D2" s="316">
        <v>31</v>
      </c>
      <c r="E2" s="317"/>
      <c r="F2" s="316">
        <v>28</v>
      </c>
      <c r="G2" s="317"/>
      <c r="H2" s="318">
        <v>31</v>
      </c>
      <c r="I2" s="317"/>
      <c r="J2" s="318">
        <v>30</v>
      </c>
      <c r="K2" s="317"/>
      <c r="L2" s="318">
        <v>31</v>
      </c>
      <c r="M2" s="317"/>
      <c r="N2" s="316"/>
      <c r="O2" s="317"/>
      <c r="P2" s="316"/>
      <c r="Q2" s="317"/>
      <c r="R2" s="316"/>
      <c r="S2" s="317"/>
      <c r="T2" s="316"/>
      <c r="U2" s="317"/>
      <c r="V2" s="316"/>
      <c r="W2" s="317"/>
      <c r="X2" s="316"/>
      <c r="Y2" s="317"/>
      <c r="Z2" s="316"/>
      <c r="AA2" s="317"/>
      <c r="AB2" s="316"/>
      <c r="AC2" s="317"/>
      <c r="AD2" s="316"/>
      <c r="AE2" s="317"/>
      <c r="AF2" s="316"/>
      <c r="AG2" s="317"/>
      <c r="AH2" s="316">
        <f>SUM(J2:W2)</f>
        <v>61</v>
      </c>
      <c r="AI2" s="317"/>
      <c r="AJ2" s="303"/>
      <c r="AK2" s="303"/>
      <c r="AL2" s="303"/>
      <c r="AM2" s="303"/>
      <c r="AN2" s="303"/>
      <c r="AO2" s="303"/>
      <c r="AP2" s="303"/>
    </row>
    <row r="3" spans="1:42">
      <c r="A3" s="303"/>
      <c r="B3" s="303"/>
      <c r="C3" s="303" t="s">
        <v>516</v>
      </c>
      <c r="D3" s="316">
        <f>SUM(D6:E9)</f>
        <v>191000.95</v>
      </c>
      <c r="E3" s="317"/>
      <c r="F3" s="316">
        <f>SUM(F6:G9)</f>
        <v>191000.95</v>
      </c>
      <c r="G3" s="317"/>
      <c r="H3" s="318">
        <f>SUM(H6:I9)</f>
        <v>279000.95</v>
      </c>
      <c r="I3" s="317"/>
      <c r="J3" s="318">
        <f>SUM(J7:K10)</f>
        <v>420036.87328767125</v>
      </c>
      <c r="K3" s="317"/>
      <c r="L3" s="318">
        <f>SUM(L7:M10)</f>
        <v>434038.10239726026</v>
      </c>
      <c r="M3" s="317"/>
      <c r="N3" s="316"/>
      <c r="O3" s="317"/>
      <c r="P3" s="316"/>
      <c r="Q3" s="317"/>
      <c r="R3" s="316"/>
      <c r="S3" s="317"/>
      <c r="T3" s="316"/>
      <c r="U3" s="317"/>
      <c r="V3" s="316"/>
      <c r="W3" s="317"/>
      <c r="X3" s="316"/>
      <c r="Y3" s="317"/>
      <c r="Z3" s="316"/>
      <c r="AA3" s="317"/>
      <c r="AB3" s="316"/>
      <c r="AC3" s="317"/>
      <c r="AD3" s="316"/>
      <c r="AE3" s="317"/>
      <c r="AF3" s="316"/>
      <c r="AG3" s="317"/>
      <c r="AH3" s="319">
        <f>SUM(J3:AF3)</f>
        <v>854074.9756849315</v>
      </c>
      <c r="AI3" s="317"/>
      <c r="AJ3" s="307"/>
      <c r="AK3" s="307"/>
      <c r="AL3" s="307"/>
      <c r="AM3" s="307"/>
      <c r="AN3" s="307"/>
      <c r="AO3" s="307"/>
      <c r="AP3" s="303"/>
    </row>
    <row r="4" spans="1:42" hidden="1">
      <c r="A4" s="305"/>
      <c r="B4" s="305"/>
      <c r="C4" s="186" t="s">
        <v>440</v>
      </c>
      <c r="D4" s="316">
        <v>0</v>
      </c>
      <c r="E4" s="317"/>
      <c r="F4" s="316">
        <v>0</v>
      </c>
      <c r="G4" s="317"/>
      <c r="H4" s="318">
        <v>0</v>
      </c>
      <c r="I4" s="317"/>
      <c r="J4" s="320">
        <v>0</v>
      </c>
      <c r="K4" s="317"/>
      <c r="L4" s="320">
        <v>0</v>
      </c>
      <c r="M4" s="317"/>
      <c r="N4" s="321"/>
      <c r="O4" s="317"/>
      <c r="P4" s="321"/>
      <c r="Q4" s="317"/>
      <c r="R4" s="321"/>
      <c r="S4" s="317"/>
      <c r="T4" s="321"/>
      <c r="U4" s="317"/>
      <c r="V4" s="321"/>
      <c r="W4" s="317"/>
      <c r="X4" s="321"/>
      <c r="Y4" s="317"/>
      <c r="Z4" s="321"/>
      <c r="AA4" s="317"/>
      <c r="AB4" s="321"/>
      <c r="AC4" s="317"/>
      <c r="AD4" s="321"/>
      <c r="AE4" s="317"/>
      <c r="AF4" s="321"/>
      <c r="AG4" s="317"/>
      <c r="AH4" s="305"/>
      <c r="AI4" s="305"/>
      <c r="AJ4" s="305"/>
      <c r="AK4" s="305"/>
      <c r="AL4" s="305"/>
      <c r="AM4" s="305"/>
      <c r="AN4" s="305"/>
      <c r="AO4" s="305"/>
      <c r="AP4" s="305"/>
    </row>
    <row r="5" spans="1:42">
      <c r="A5" s="305"/>
      <c r="B5" s="305"/>
      <c r="C5" s="305" t="s">
        <v>438</v>
      </c>
      <c r="D5" s="321">
        <v>1</v>
      </c>
      <c r="E5" s="317"/>
      <c r="F5" s="321">
        <v>1</v>
      </c>
      <c r="G5" s="317"/>
      <c r="H5" s="320">
        <v>1</v>
      </c>
      <c r="I5" s="317"/>
      <c r="J5" s="320">
        <v>1</v>
      </c>
      <c r="K5" s="317"/>
      <c r="L5" s="320">
        <v>1</v>
      </c>
      <c r="M5" s="317"/>
      <c r="N5" s="321"/>
      <c r="O5" s="317"/>
      <c r="P5" s="321"/>
      <c r="Q5" s="317"/>
      <c r="R5" s="321"/>
      <c r="S5" s="317"/>
      <c r="T5" s="321"/>
      <c r="U5" s="317"/>
      <c r="V5" s="321"/>
      <c r="W5" s="317"/>
      <c r="X5" s="321"/>
      <c r="Y5" s="317"/>
      <c r="Z5" s="321"/>
      <c r="AA5" s="317"/>
      <c r="AB5" s="321"/>
      <c r="AC5" s="317"/>
      <c r="AD5" s="321"/>
      <c r="AE5" s="317"/>
      <c r="AF5" s="321"/>
      <c r="AG5" s="317"/>
      <c r="AH5" s="305"/>
      <c r="AI5" s="305"/>
      <c r="AJ5" s="305"/>
      <c r="AK5" s="305"/>
      <c r="AL5" s="305"/>
      <c r="AM5" s="305"/>
      <c r="AN5" s="305"/>
      <c r="AO5" s="305"/>
      <c r="AP5" s="305"/>
    </row>
    <row r="6" spans="1:42">
      <c r="A6" s="305"/>
      <c r="B6" s="305"/>
      <c r="C6" s="305" t="s">
        <v>439</v>
      </c>
      <c r="D6" s="321">
        <v>0.95</v>
      </c>
      <c r="E6" s="317"/>
      <c r="F6" s="321">
        <v>0.95</v>
      </c>
      <c r="G6" s="317"/>
      <c r="H6" s="320">
        <v>0.95</v>
      </c>
      <c r="I6" s="317"/>
      <c r="J6" s="320">
        <v>0.95</v>
      </c>
      <c r="K6" s="317"/>
      <c r="L6" s="320">
        <v>0.95</v>
      </c>
      <c r="M6" s="317"/>
      <c r="N6" s="321"/>
      <c r="O6" s="317"/>
      <c r="P6" s="321"/>
      <c r="Q6" s="317"/>
      <c r="R6" s="321"/>
      <c r="S6" s="317"/>
      <c r="T6" s="321"/>
      <c r="U6" s="317"/>
      <c r="V6" s="321"/>
      <c r="W6" s="317"/>
      <c r="X6" s="321"/>
      <c r="Y6" s="317"/>
      <c r="Z6" s="321"/>
      <c r="AA6" s="317"/>
      <c r="AB6" s="321"/>
      <c r="AC6" s="317"/>
      <c r="AD6" s="321"/>
      <c r="AE6" s="317"/>
      <c r="AF6" s="321"/>
      <c r="AG6" s="317"/>
      <c r="AH6" s="321" t="s">
        <v>104</v>
      </c>
      <c r="AI6" s="317"/>
      <c r="AJ6" s="305"/>
      <c r="AK6" s="305"/>
      <c r="AL6" s="305"/>
      <c r="AM6" s="305"/>
      <c r="AN6" s="305"/>
      <c r="AO6" s="305"/>
      <c r="AP6" s="305"/>
    </row>
    <row r="7" spans="1:42">
      <c r="A7" s="307"/>
      <c r="B7" s="187"/>
      <c r="C7" s="187" t="s">
        <v>438</v>
      </c>
      <c r="D7" s="322">
        <v>11000</v>
      </c>
      <c r="E7" s="323"/>
      <c r="F7" s="322">
        <v>11000</v>
      </c>
      <c r="G7" s="323"/>
      <c r="H7" s="324">
        <v>21000</v>
      </c>
      <c r="I7" s="323"/>
      <c r="J7" s="324">
        <f>('[1]Projections by Rev Center phase'!C48/365)*J$2*J5</f>
        <v>51603.123287671238</v>
      </c>
      <c r="K7" s="323"/>
      <c r="L7" s="324">
        <f>('[1]Projections by Rev Center phase'!C48/365)*L$2*L5</f>
        <v>53323.227397260278</v>
      </c>
      <c r="M7" s="323"/>
      <c r="N7" s="322"/>
      <c r="O7" s="323"/>
      <c r="P7" s="322"/>
      <c r="Q7" s="323"/>
      <c r="R7" s="322"/>
      <c r="S7" s="323"/>
      <c r="T7" s="322"/>
      <c r="U7" s="323"/>
      <c r="V7" s="322"/>
      <c r="W7" s="323"/>
      <c r="X7" s="322"/>
      <c r="Y7" s="323"/>
      <c r="Z7" s="322"/>
      <c r="AA7" s="323"/>
      <c r="AB7" s="322"/>
      <c r="AC7" s="323"/>
      <c r="AD7" s="322"/>
      <c r="AE7" s="323"/>
      <c r="AF7" s="322"/>
      <c r="AG7" s="323"/>
      <c r="AH7" s="322">
        <f t="shared" ref="AH7:AH12" si="0">SUM(J7:AF7)</f>
        <v>104926.35068493152</v>
      </c>
      <c r="AI7" s="323"/>
      <c r="AJ7" s="307"/>
      <c r="AK7" s="307"/>
      <c r="AL7" s="307"/>
      <c r="AM7" s="307"/>
      <c r="AN7" s="307"/>
      <c r="AO7" s="307"/>
      <c r="AP7" s="303"/>
    </row>
    <row r="8" spans="1:42">
      <c r="A8" s="307"/>
      <c r="B8" s="187"/>
      <c r="C8" s="187" t="s">
        <v>439</v>
      </c>
      <c r="D8" s="322">
        <v>180000</v>
      </c>
      <c r="E8" s="323"/>
      <c r="F8" s="322">
        <v>180000</v>
      </c>
      <c r="G8" s="323"/>
      <c r="H8" s="324">
        <v>258000</v>
      </c>
      <c r="I8" s="323"/>
      <c r="J8" s="324">
        <f>('[1]Projections by Rev Center phase'!C82/365)*J$2*J6</f>
        <v>368433.75</v>
      </c>
      <c r="K8" s="323"/>
      <c r="L8" s="324">
        <f>('[1]Projections by Rev Center phase'!C82/365)*L$2*L6</f>
        <v>380714.875</v>
      </c>
      <c r="M8" s="323"/>
      <c r="N8" s="322"/>
      <c r="O8" s="323"/>
      <c r="P8" s="322"/>
      <c r="Q8" s="323"/>
      <c r="R8" s="322"/>
      <c r="S8" s="323"/>
      <c r="T8" s="322"/>
      <c r="U8" s="323"/>
      <c r="V8" s="322"/>
      <c r="W8" s="323"/>
      <c r="X8" s="322"/>
      <c r="Y8" s="323"/>
      <c r="Z8" s="322"/>
      <c r="AA8" s="323"/>
      <c r="AB8" s="322"/>
      <c r="AC8" s="323"/>
      <c r="AD8" s="322"/>
      <c r="AE8" s="323"/>
      <c r="AF8" s="322"/>
      <c r="AG8" s="323"/>
      <c r="AH8" s="322">
        <f t="shared" si="0"/>
        <v>749148.625</v>
      </c>
      <c r="AI8" s="323"/>
      <c r="AJ8" s="307"/>
      <c r="AK8" s="307"/>
      <c r="AL8" s="307"/>
      <c r="AM8" s="307"/>
      <c r="AN8" s="307"/>
      <c r="AO8" s="307"/>
      <c r="AP8" s="303"/>
    </row>
    <row r="9" spans="1:42">
      <c r="A9" s="188"/>
      <c r="B9" s="187"/>
      <c r="C9" s="187" t="s">
        <v>455</v>
      </c>
      <c r="D9" s="322">
        <v>0</v>
      </c>
      <c r="E9" s="323"/>
      <c r="F9" s="322">
        <v>0</v>
      </c>
      <c r="G9" s="323"/>
      <c r="H9" s="324">
        <v>0</v>
      </c>
      <c r="I9" s="323"/>
      <c r="J9" s="324">
        <v>0</v>
      </c>
      <c r="K9" s="323"/>
      <c r="L9" s="324">
        <v>0</v>
      </c>
      <c r="M9" s="323"/>
      <c r="N9" s="322"/>
      <c r="O9" s="323"/>
      <c r="P9" s="322"/>
      <c r="Q9" s="323"/>
      <c r="R9" s="322"/>
      <c r="S9" s="323"/>
      <c r="T9" s="322"/>
      <c r="U9" s="323"/>
      <c r="V9" s="322"/>
      <c r="W9" s="323"/>
      <c r="X9" s="322"/>
      <c r="Y9" s="323"/>
      <c r="Z9" s="322"/>
      <c r="AA9" s="323"/>
      <c r="AB9" s="322"/>
      <c r="AC9" s="323"/>
      <c r="AD9" s="322"/>
      <c r="AE9" s="323"/>
      <c r="AF9" s="322"/>
      <c r="AG9" s="323"/>
      <c r="AH9" s="322">
        <f t="shared" si="0"/>
        <v>0</v>
      </c>
      <c r="AI9" s="323"/>
      <c r="AJ9" s="307"/>
      <c r="AK9" s="307"/>
      <c r="AL9" s="307"/>
      <c r="AM9" s="307"/>
      <c r="AN9" s="307"/>
      <c r="AO9" s="307"/>
      <c r="AP9" s="303"/>
    </row>
    <row r="10" spans="1:42">
      <c r="A10" s="188"/>
      <c r="B10" s="187"/>
      <c r="C10" s="187" t="s">
        <v>440</v>
      </c>
      <c r="D10" s="322">
        <v>0</v>
      </c>
      <c r="E10" s="323"/>
      <c r="F10" s="322">
        <v>0</v>
      </c>
      <c r="G10" s="323"/>
      <c r="H10" s="324">
        <v>0</v>
      </c>
      <c r="I10" s="323"/>
      <c r="J10" s="324">
        <v>0</v>
      </c>
      <c r="K10" s="323"/>
      <c r="L10" s="324">
        <v>0</v>
      </c>
      <c r="M10" s="323"/>
      <c r="N10" s="322"/>
      <c r="O10" s="323"/>
      <c r="P10" s="322"/>
      <c r="Q10" s="323"/>
      <c r="R10" s="322"/>
      <c r="S10" s="323"/>
      <c r="T10" s="322"/>
      <c r="U10" s="323"/>
      <c r="V10" s="322"/>
      <c r="W10" s="323"/>
      <c r="X10" s="322"/>
      <c r="Y10" s="323"/>
      <c r="Z10" s="322"/>
      <c r="AA10" s="323"/>
      <c r="AB10" s="322"/>
      <c r="AC10" s="323"/>
      <c r="AD10" s="322"/>
      <c r="AE10" s="323"/>
      <c r="AF10" s="322"/>
      <c r="AG10" s="323"/>
      <c r="AH10" s="322">
        <f t="shared" si="0"/>
        <v>0</v>
      </c>
      <c r="AI10" s="323"/>
      <c r="AJ10" s="307"/>
      <c r="AK10" s="307"/>
      <c r="AL10" s="307"/>
      <c r="AM10" s="307"/>
      <c r="AN10" s="307"/>
      <c r="AO10" s="307"/>
      <c r="AP10" s="303"/>
    </row>
    <row r="11" spans="1:42">
      <c r="A11" s="188"/>
      <c r="B11" s="303"/>
      <c r="C11" s="187" t="s">
        <v>441</v>
      </c>
      <c r="D11" s="322">
        <f>0.05*E10</f>
        <v>0</v>
      </c>
      <c r="E11" s="323"/>
      <c r="F11" s="322">
        <f>0.05*G10</f>
        <v>0</v>
      </c>
      <c r="G11" s="323"/>
      <c r="H11" s="324">
        <f>0.05*I10</f>
        <v>0</v>
      </c>
      <c r="I11" s="323"/>
      <c r="J11" s="324">
        <f>0.05*J10</f>
        <v>0</v>
      </c>
      <c r="K11" s="323"/>
      <c r="L11" s="324">
        <f>0.05*L10</f>
        <v>0</v>
      </c>
      <c r="M11" s="323"/>
      <c r="N11" s="322"/>
      <c r="O11" s="323"/>
      <c r="P11" s="322"/>
      <c r="Q11" s="323"/>
      <c r="R11" s="322"/>
      <c r="S11" s="323"/>
      <c r="T11" s="322"/>
      <c r="U11" s="323"/>
      <c r="V11" s="322"/>
      <c r="W11" s="323"/>
      <c r="X11" s="322"/>
      <c r="Y11" s="323"/>
      <c r="Z11" s="322"/>
      <c r="AA11" s="323"/>
      <c r="AB11" s="322"/>
      <c r="AC11" s="323"/>
      <c r="AD11" s="322"/>
      <c r="AE11" s="323"/>
      <c r="AF11" s="322"/>
      <c r="AG11" s="323"/>
      <c r="AH11" s="322">
        <f t="shared" si="0"/>
        <v>0</v>
      </c>
      <c r="AI11" s="323"/>
      <c r="AJ11" s="307"/>
      <c r="AK11" s="307"/>
      <c r="AL11" s="307"/>
      <c r="AM11" s="307"/>
      <c r="AN11" s="307"/>
      <c r="AO11" s="307"/>
      <c r="AP11" s="303"/>
    </row>
    <row r="12" spans="1:42">
      <c r="A12" s="188"/>
      <c r="B12" s="303"/>
      <c r="C12" s="187" t="s">
        <v>442</v>
      </c>
      <c r="D12" s="322">
        <f>0.04*(D7+D8+D9)</f>
        <v>7640</v>
      </c>
      <c r="E12" s="323"/>
      <c r="F12" s="322">
        <f>0.04*(F7+F8+F9)</f>
        <v>7640</v>
      </c>
      <c r="G12" s="323"/>
      <c r="H12" s="324">
        <f>0.04*(H7+H8+H9)</f>
        <v>11160</v>
      </c>
      <c r="I12" s="323"/>
      <c r="J12" s="324">
        <f>0.04*(J7+J8+J9)</f>
        <v>16801.474931506851</v>
      </c>
      <c r="K12" s="323"/>
      <c r="L12" s="324">
        <f>0.04*(L7+L8+L9)</f>
        <v>17361.524095890411</v>
      </c>
      <c r="M12" s="323"/>
      <c r="N12" s="322"/>
      <c r="O12" s="323"/>
      <c r="P12" s="322"/>
      <c r="Q12" s="323"/>
      <c r="R12" s="322"/>
      <c r="S12" s="323"/>
      <c r="T12" s="322"/>
      <c r="U12" s="323"/>
      <c r="V12" s="322"/>
      <c r="W12" s="323"/>
      <c r="X12" s="322"/>
      <c r="Y12" s="323"/>
      <c r="Z12" s="322"/>
      <c r="AA12" s="323"/>
      <c r="AB12" s="322"/>
      <c r="AC12" s="323"/>
      <c r="AD12" s="322"/>
      <c r="AE12" s="323"/>
      <c r="AF12" s="322"/>
      <c r="AG12" s="323"/>
      <c r="AH12" s="322">
        <f t="shared" si="0"/>
        <v>34162.999027397265</v>
      </c>
      <c r="AI12" s="323"/>
      <c r="AJ12" s="307"/>
      <c r="AK12" s="307"/>
      <c r="AL12" s="307"/>
      <c r="AM12" s="307"/>
      <c r="AN12" s="307"/>
      <c r="AO12" s="307"/>
      <c r="AP12" s="303"/>
    </row>
    <row r="13" spans="1:42">
      <c r="A13" s="189" t="s">
        <v>245</v>
      </c>
      <c r="B13" s="190"/>
      <c r="C13" s="191"/>
      <c r="D13" s="325" t="s">
        <v>583</v>
      </c>
      <c r="E13" s="326"/>
      <c r="F13" s="325" t="s">
        <v>517</v>
      </c>
      <c r="G13" s="326"/>
      <c r="H13" s="328" t="s">
        <v>518</v>
      </c>
      <c r="I13" s="326"/>
      <c r="J13" s="328" t="s">
        <v>519</v>
      </c>
      <c r="K13" s="326"/>
      <c r="L13" s="328" t="s">
        <v>520</v>
      </c>
      <c r="M13" s="326"/>
      <c r="N13" s="325"/>
      <c r="O13" s="326"/>
      <c r="P13" s="325"/>
      <c r="Q13" s="326"/>
      <c r="R13" s="325"/>
      <c r="S13" s="326"/>
      <c r="T13" s="325"/>
      <c r="U13" s="326"/>
      <c r="V13" s="325"/>
      <c r="W13" s="326"/>
      <c r="X13" s="325"/>
      <c r="Y13" s="326"/>
      <c r="Z13" s="325"/>
      <c r="AA13" s="326"/>
      <c r="AB13" s="325"/>
      <c r="AC13" s="326"/>
      <c r="AD13" s="325"/>
      <c r="AE13" s="326"/>
      <c r="AF13" s="325"/>
      <c r="AG13" s="326"/>
      <c r="AH13" s="327" t="s">
        <v>521</v>
      </c>
      <c r="AI13" s="326"/>
      <c r="AJ13" s="192"/>
      <c r="AK13" s="192"/>
      <c r="AL13" s="192"/>
      <c r="AM13" s="192"/>
      <c r="AN13" s="192"/>
      <c r="AO13" s="192"/>
      <c r="AP13" s="192"/>
    </row>
    <row r="14" spans="1:42">
      <c r="A14" s="189" t="s">
        <v>467</v>
      </c>
      <c r="B14" s="190"/>
      <c r="C14" s="191"/>
      <c r="D14" s="325">
        <f>FIND("-",D13)</f>
        <v>4</v>
      </c>
      <c r="E14" s="326"/>
      <c r="F14" s="325" t="str">
        <f>RIGHT(D13,LEN(D13)-D14)</f>
        <v xml:space="preserve"> January</v>
      </c>
      <c r="G14" s="326"/>
      <c r="H14" s="328" t="s">
        <v>104</v>
      </c>
      <c r="I14" s="326"/>
      <c r="J14" s="328" t="s">
        <v>104</v>
      </c>
      <c r="K14" s="326"/>
      <c r="L14" s="328" t="s">
        <v>104</v>
      </c>
      <c r="M14" s="326"/>
      <c r="N14" s="325"/>
      <c r="O14" s="326"/>
      <c r="P14" s="325"/>
      <c r="Q14" s="326"/>
      <c r="R14" s="325"/>
      <c r="S14" s="326"/>
      <c r="T14" s="327"/>
      <c r="U14" s="326"/>
      <c r="V14" s="327"/>
      <c r="W14" s="326"/>
      <c r="X14" s="327"/>
      <c r="Y14" s="326"/>
      <c r="Z14" s="327"/>
      <c r="AA14" s="326"/>
      <c r="AB14" s="327"/>
      <c r="AC14" s="326"/>
      <c r="AD14" s="327"/>
      <c r="AE14" s="326"/>
      <c r="AF14" s="327"/>
      <c r="AG14" s="326"/>
      <c r="AH14" s="329"/>
      <c r="AI14" s="330"/>
      <c r="AJ14" s="192"/>
      <c r="AK14" s="192"/>
      <c r="AL14" s="192"/>
      <c r="AM14" s="192"/>
      <c r="AN14" s="192"/>
      <c r="AO14" s="192"/>
      <c r="AP14" s="192"/>
    </row>
    <row r="15" spans="1:42" ht="15" hidden="1" thickBot="1">
      <c r="A15" s="193" t="s">
        <v>522</v>
      </c>
      <c r="B15" s="194"/>
      <c r="C15" s="195"/>
      <c r="D15" s="196"/>
      <c r="E15" s="196"/>
      <c r="F15" s="196"/>
      <c r="G15" s="196"/>
      <c r="H15" s="197"/>
      <c r="I15" s="197"/>
      <c r="J15" s="331">
        <v>4</v>
      </c>
      <c r="K15" s="332"/>
      <c r="L15" s="331">
        <v>4</v>
      </c>
      <c r="M15" s="332"/>
      <c r="N15" s="333"/>
      <c r="O15" s="332"/>
      <c r="P15" s="333"/>
      <c r="Q15" s="332"/>
      <c r="R15" s="333"/>
      <c r="S15" s="332"/>
      <c r="T15" s="333"/>
      <c r="U15" s="332"/>
      <c r="V15" s="333"/>
      <c r="W15" s="332"/>
      <c r="X15" s="333"/>
      <c r="Y15" s="332"/>
      <c r="Z15" s="333"/>
      <c r="AA15" s="332"/>
      <c r="AB15" s="333"/>
      <c r="AC15" s="332"/>
      <c r="AD15" s="333"/>
      <c r="AE15" s="332"/>
      <c r="AF15" s="333"/>
      <c r="AG15" s="332"/>
      <c r="AH15" s="333"/>
      <c r="AI15" s="332"/>
      <c r="AJ15" s="303"/>
      <c r="AK15" s="303"/>
      <c r="AL15" s="303"/>
      <c r="AM15" s="303"/>
      <c r="AN15" s="303"/>
      <c r="AO15" s="303"/>
      <c r="AP15" s="303"/>
    </row>
    <row r="16" spans="1:42" ht="83.25" customHeight="1">
      <c r="A16" s="189"/>
      <c r="B16" s="190"/>
      <c r="C16" s="198"/>
      <c r="D16" s="337" t="s">
        <v>523</v>
      </c>
      <c r="E16" s="326"/>
      <c r="F16" s="337" t="s">
        <v>523</v>
      </c>
      <c r="G16" s="326"/>
      <c r="H16" s="338" t="s">
        <v>523</v>
      </c>
      <c r="I16" s="326"/>
      <c r="J16" s="338" t="s">
        <v>523</v>
      </c>
      <c r="K16" s="326"/>
      <c r="L16" s="338" t="s">
        <v>523</v>
      </c>
      <c r="M16" s="326"/>
      <c r="N16" s="335"/>
      <c r="O16" s="326"/>
      <c r="P16" s="335"/>
      <c r="Q16" s="326"/>
      <c r="R16" s="335"/>
      <c r="S16" s="326"/>
      <c r="T16" s="335"/>
      <c r="U16" s="326"/>
      <c r="V16" s="335"/>
      <c r="W16" s="326"/>
      <c r="X16" s="336"/>
      <c r="Y16" s="326"/>
      <c r="Z16" s="336"/>
      <c r="AA16" s="326"/>
      <c r="AB16" s="336"/>
      <c r="AC16" s="326"/>
      <c r="AD16" s="336"/>
      <c r="AE16" s="326"/>
      <c r="AF16" s="336"/>
      <c r="AG16" s="326"/>
      <c r="AH16" s="334"/>
      <c r="AI16" s="326"/>
      <c r="AJ16" s="199"/>
      <c r="AK16" s="199"/>
      <c r="AL16" s="199"/>
      <c r="AM16" s="199"/>
      <c r="AN16" s="199"/>
      <c r="AO16" s="199"/>
      <c r="AP16" s="199"/>
    </row>
    <row r="17" spans="1:42">
      <c r="A17" s="200" t="s">
        <v>468</v>
      </c>
      <c r="B17" s="201"/>
      <c r="C17" s="202"/>
      <c r="D17" s="203"/>
      <c r="E17" s="203"/>
      <c r="F17" s="203"/>
      <c r="G17" s="203"/>
      <c r="H17" s="204"/>
      <c r="I17" s="204"/>
      <c r="J17" s="205" t="s">
        <v>524</v>
      </c>
      <c r="K17" s="206" t="s">
        <v>525</v>
      </c>
      <c r="L17" s="205" t="s">
        <v>524</v>
      </c>
      <c r="M17" s="206" t="s">
        <v>525</v>
      </c>
      <c r="N17" s="207"/>
      <c r="O17" s="208"/>
      <c r="P17" s="207"/>
      <c r="Q17" s="208"/>
      <c r="R17" s="207"/>
      <c r="S17" s="208"/>
      <c r="T17" s="207"/>
      <c r="U17" s="208"/>
      <c r="V17" s="207"/>
      <c r="W17" s="208"/>
      <c r="X17" s="207"/>
      <c r="Y17" s="208"/>
      <c r="Z17" s="207"/>
      <c r="AA17" s="208"/>
      <c r="AB17" s="207"/>
      <c r="AC17" s="208"/>
      <c r="AD17" s="207"/>
      <c r="AE17" s="208"/>
      <c r="AF17" s="207"/>
      <c r="AG17" s="208"/>
      <c r="AH17" s="207" t="s">
        <v>524</v>
      </c>
      <c r="AI17" s="208" t="s">
        <v>525</v>
      </c>
      <c r="AJ17" s="199"/>
      <c r="AK17" s="199"/>
      <c r="AL17" s="199"/>
      <c r="AM17" s="199"/>
      <c r="AN17" s="199"/>
      <c r="AO17" s="199"/>
      <c r="AP17" s="199"/>
    </row>
    <row r="18" spans="1:42">
      <c r="A18" s="189" t="s">
        <v>526</v>
      </c>
      <c r="B18" s="190"/>
      <c r="C18" s="209"/>
      <c r="D18" s="210"/>
      <c r="E18" s="210"/>
      <c r="F18" s="210"/>
      <c r="G18" s="210"/>
      <c r="H18" s="211"/>
      <c r="I18" s="211"/>
      <c r="J18" s="212"/>
      <c r="K18" s="213"/>
      <c r="L18" s="212"/>
      <c r="M18" s="213"/>
      <c r="N18" s="214"/>
      <c r="O18" s="215"/>
      <c r="P18" s="214"/>
      <c r="Q18" s="215"/>
      <c r="R18" s="214"/>
      <c r="S18" s="215"/>
      <c r="T18" s="214"/>
      <c r="U18" s="215"/>
      <c r="V18" s="214"/>
      <c r="W18" s="215"/>
      <c r="X18" s="214"/>
      <c r="Y18" s="215"/>
      <c r="Z18" s="214"/>
      <c r="AA18" s="215"/>
      <c r="AB18" s="214"/>
      <c r="AC18" s="215"/>
      <c r="AD18" s="214"/>
      <c r="AE18" s="215"/>
      <c r="AF18" s="214"/>
      <c r="AG18" s="215"/>
      <c r="AH18" s="214"/>
      <c r="AI18" s="215"/>
      <c r="AJ18" s="216"/>
      <c r="AK18" s="216"/>
      <c r="AL18" s="216"/>
      <c r="AM18" s="216"/>
      <c r="AN18" s="216"/>
      <c r="AO18" s="216"/>
      <c r="AP18" s="216"/>
    </row>
    <row r="19" spans="1:42">
      <c r="A19" s="190" t="s">
        <v>107</v>
      </c>
      <c r="B19" s="190" t="s">
        <v>527</v>
      </c>
      <c r="C19" s="217" t="s">
        <v>459</v>
      </c>
      <c r="D19" s="214"/>
      <c r="E19" s="218"/>
      <c r="F19" s="214"/>
      <c r="G19" s="218"/>
      <c r="H19" s="212">
        <f t="shared" ref="H19:H24" si="1">I19*H$28</f>
        <v>136375.19999999998</v>
      </c>
      <c r="I19" s="219">
        <v>0.47</v>
      </c>
      <c r="J19" s="212">
        <f t="shared" ref="J19:J27" si="2">K19*J$28</f>
        <v>209682.40714520548</v>
      </c>
      <c r="K19" s="219">
        <v>0.48</v>
      </c>
      <c r="L19" s="212">
        <f t="shared" ref="L19:L27" si="3">M19*L$28</f>
        <v>216671.8207167123</v>
      </c>
      <c r="M19" s="219">
        <v>0.48</v>
      </c>
      <c r="N19" s="214"/>
      <c r="O19" s="218"/>
      <c r="P19" s="214"/>
      <c r="Q19" s="218"/>
      <c r="R19" s="214"/>
      <c r="S19" s="218"/>
      <c r="T19" s="214"/>
      <c r="U19" s="218"/>
      <c r="V19" s="214"/>
      <c r="W19" s="218"/>
      <c r="X19" s="214"/>
      <c r="Y19" s="218"/>
      <c r="Z19" s="214"/>
      <c r="AA19" s="218"/>
      <c r="AB19" s="214"/>
      <c r="AC19" s="218"/>
      <c r="AD19" s="214"/>
      <c r="AE19" s="218"/>
      <c r="AF19" s="214"/>
      <c r="AG19" s="218"/>
      <c r="AH19" s="214">
        <f t="shared" ref="AH19:AH26" si="4">SUM(J19,L19,N19,P19,R19,T19,V19,X19,Z19,AB19,AD19,AF19)</f>
        <v>426354.22786191781</v>
      </c>
      <c r="AI19" s="218">
        <f t="shared" ref="AI19:AI26" si="5">AH19/$AH$28</f>
        <v>0.48000000000000004</v>
      </c>
      <c r="AJ19" s="220"/>
      <c r="AK19" s="220"/>
      <c r="AL19" s="220"/>
      <c r="AM19" s="220"/>
      <c r="AN19" s="220"/>
      <c r="AO19" s="220"/>
      <c r="AP19" s="220"/>
    </row>
    <row r="20" spans="1:42">
      <c r="A20" s="189"/>
      <c r="B20" s="190" t="s">
        <v>528</v>
      </c>
      <c r="C20" s="217" t="s">
        <v>461</v>
      </c>
      <c r="D20" s="214"/>
      <c r="E20" s="218"/>
      <c r="F20" s="214"/>
      <c r="G20" s="218"/>
      <c r="H20" s="212">
        <f t="shared" si="1"/>
        <v>28145.52</v>
      </c>
      <c r="I20" s="219">
        <v>9.7000000000000003E-2</v>
      </c>
      <c r="J20" s="212">
        <f t="shared" si="2"/>
        <v>32762.876116438354</v>
      </c>
      <c r="K20" s="219">
        <v>7.4999999999999997E-2</v>
      </c>
      <c r="L20" s="212">
        <f t="shared" si="3"/>
        <v>33854.971986986297</v>
      </c>
      <c r="M20" s="219">
        <v>7.4999999999999997E-2</v>
      </c>
      <c r="N20" s="214"/>
      <c r="O20" s="218"/>
      <c r="P20" s="214"/>
      <c r="Q20" s="218"/>
      <c r="R20" s="214"/>
      <c r="S20" s="218"/>
      <c r="T20" s="214"/>
      <c r="U20" s="218"/>
      <c r="V20" s="214"/>
      <c r="W20" s="218"/>
      <c r="X20" s="214"/>
      <c r="Y20" s="218"/>
      <c r="Z20" s="214"/>
      <c r="AA20" s="218"/>
      <c r="AB20" s="214"/>
      <c r="AC20" s="218"/>
      <c r="AD20" s="214"/>
      <c r="AE20" s="218"/>
      <c r="AF20" s="214"/>
      <c r="AG20" s="218"/>
      <c r="AH20" s="214">
        <f t="shared" si="4"/>
        <v>66617.848103424651</v>
      </c>
      <c r="AI20" s="218">
        <f t="shared" si="5"/>
        <v>7.4999999999999997E-2</v>
      </c>
      <c r="AJ20" s="220"/>
      <c r="AK20" s="220"/>
      <c r="AL20" s="220"/>
      <c r="AM20" s="220"/>
      <c r="AN20" s="220"/>
      <c r="AO20" s="220"/>
      <c r="AP20" s="220"/>
    </row>
    <row r="21" spans="1:42">
      <c r="A21" s="189"/>
      <c r="B21" s="190" t="s">
        <v>529</v>
      </c>
      <c r="C21" s="217" t="s">
        <v>462</v>
      </c>
      <c r="D21" s="214"/>
      <c r="E21" s="218"/>
      <c r="F21" s="214"/>
      <c r="G21" s="218"/>
      <c r="H21" s="212">
        <f t="shared" si="1"/>
        <v>95752.8</v>
      </c>
      <c r="I21" s="219">
        <v>0.33</v>
      </c>
      <c r="J21" s="212">
        <f t="shared" si="2"/>
        <v>158572.32040356164</v>
      </c>
      <c r="K21" s="219">
        <v>0.36299999999999999</v>
      </c>
      <c r="L21" s="212">
        <f t="shared" si="3"/>
        <v>163858.06441701369</v>
      </c>
      <c r="M21" s="219">
        <v>0.36299999999999999</v>
      </c>
      <c r="N21" s="214"/>
      <c r="O21" s="218"/>
      <c r="P21" s="214"/>
      <c r="Q21" s="218"/>
      <c r="R21" s="214"/>
      <c r="S21" s="218"/>
      <c r="T21" s="214"/>
      <c r="U21" s="218"/>
      <c r="V21" s="214"/>
      <c r="W21" s="218"/>
      <c r="X21" s="214"/>
      <c r="Y21" s="218"/>
      <c r="Z21" s="214"/>
      <c r="AA21" s="218"/>
      <c r="AB21" s="214"/>
      <c r="AC21" s="218"/>
      <c r="AD21" s="214"/>
      <c r="AE21" s="218"/>
      <c r="AF21" s="214"/>
      <c r="AG21" s="218"/>
      <c r="AH21" s="214">
        <f t="shared" si="4"/>
        <v>322430.38482057536</v>
      </c>
      <c r="AI21" s="218">
        <f t="shared" si="5"/>
        <v>0.36300000000000004</v>
      </c>
      <c r="AJ21" s="220"/>
      <c r="AK21" s="220"/>
      <c r="AL21" s="220"/>
      <c r="AM21" s="220"/>
      <c r="AN21" s="220"/>
      <c r="AO21" s="220"/>
      <c r="AP21" s="220"/>
    </row>
    <row r="22" spans="1:42">
      <c r="A22" s="189"/>
      <c r="B22" s="190" t="s">
        <v>722</v>
      </c>
      <c r="C22" s="217" t="s">
        <v>463</v>
      </c>
      <c r="D22" s="214"/>
      <c r="E22" s="218"/>
      <c r="F22" s="214"/>
      <c r="G22" s="218"/>
      <c r="H22" s="212">
        <f t="shared" si="1"/>
        <v>4352.3999999999996</v>
      </c>
      <c r="I22" s="219">
        <v>1.4999999999999999E-2</v>
      </c>
      <c r="J22" s="212">
        <f t="shared" si="2"/>
        <v>7863.0902679452047</v>
      </c>
      <c r="K22" s="219">
        <v>1.7999999999999999E-2</v>
      </c>
      <c r="L22" s="212">
        <f t="shared" si="3"/>
        <v>8125.193276876711</v>
      </c>
      <c r="M22" s="219">
        <v>1.7999999999999999E-2</v>
      </c>
      <c r="N22" s="214"/>
      <c r="O22" s="218"/>
      <c r="P22" s="214"/>
      <c r="Q22" s="218"/>
      <c r="R22" s="214"/>
      <c r="S22" s="218"/>
      <c r="T22" s="214"/>
      <c r="U22" s="218"/>
      <c r="V22" s="214"/>
      <c r="W22" s="218"/>
      <c r="X22" s="214"/>
      <c r="Y22" s="218"/>
      <c r="Z22" s="214"/>
      <c r="AA22" s="218"/>
      <c r="AB22" s="214"/>
      <c r="AC22" s="218"/>
      <c r="AD22" s="214"/>
      <c r="AE22" s="218"/>
      <c r="AF22" s="214"/>
      <c r="AG22" s="218"/>
      <c r="AH22" s="214">
        <f t="shared" si="4"/>
        <v>15988.283544821916</v>
      </c>
      <c r="AI22" s="218">
        <f t="shared" si="5"/>
        <v>1.7999999999999999E-2</v>
      </c>
      <c r="AJ22" s="220"/>
      <c r="AK22" s="220"/>
      <c r="AL22" s="220"/>
      <c r="AM22" s="220"/>
      <c r="AN22" s="220"/>
      <c r="AO22" s="220"/>
      <c r="AP22" s="220"/>
    </row>
    <row r="23" spans="1:42" ht="15.75" customHeight="1">
      <c r="A23" s="189"/>
      <c r="B23" s="190" t="s">
        <v>723</v>
      </c>
      <c r="C23" s="217" t="s">
        <v>464</v>
      </c>
      <c r="D23" s="214"/>
      <c r="E23" s="218"/>
      <c r="F23" s="214"/>
      <c r="G23" s="218"/>
      <c r="H23" s="212">
        <f t="shared" si="1"/>
        <v>2901.6</v>
      </c>
      <c r="I23" s="219">
        <v>0.01</v>
      </c>
      <c r="J23" s="212">
        <f t="shared" si="2"/>
        <v>6246.7883795342468</v>
      </c>
      <c r="K23" s="219">
        <v>1.43E-2</v>
      </c>
      <c r="L23" s="212">
        <f t="shared" si="3"/>
        <v>6455.0146588520547</v>
      </c>
      <c r="M23" s="219">
        <v>1.43E-2</v>
      </c>
      <c r="N23" s="214"/>
      <c r="O23" s="218"/>
      <c r="P23" s="214"/>
      <c r="Q23" s="218"/>
      <c r="R23" s="214"/>
      <c r="S23" s="218"/>
      <c r="T23" s="214"/>
      <c r="U23" s="218"/>
      <c r="V23" s="214"/>
      <c r="W23" s="218"/>
      <c r="X23" s="214"/>
      <c r="Y23" s="218"/>
      <c r="Z23" s="214"/>
      <c r="AA23" s="218"/>
      <c r="AB23" s="214"/>
      <c r="AC23" s="218"/>
      <c r="AD23" s="214"/>
      <c r="AE23" s="218"/>
      <c r="AF23" s="214"/>
      <c r="AG23" s="218"/>
      <c r="AH23" s="214">
        <f t="shared" si="4"/>
        <v>12701.803038386301</v>
      </c>
      <c r="AI23" s="218">
        <f t="shared" si="5"/>
        <v>1.43E-2</v>
      </c>
      <c r="AJ23" s="220"/>
      <c r="AK23" s="220"/>
      <c r="AL23" s="220"/>
      <c r="AM23" s="220"/>
      <c r="AN23" s="220"/>
      <c r="AO23" s="220"/>
      <c r="AP23" s="220"/>
    </row>
    <row r="24" spans="1:42" ht="15.75" customHeight="1">
      <c r="A24" s="189"/>
      <c r="B24" s="190" t="s">
        <v>530</v>
      </c>
      <c r="C24" s="217" t="s">
        <v>460</v>
      </c>
      <c r="D24" s="214"/>
      <c r="E24" s="221"/>
      <c r="F24" s="214"/>
      <c r="G24" s="221"/>
      <c r="H24" s="212">
        <f t="shared" si="1"/>
        <v>11606.4</v>
      </c>
      <c r="I24" s="222">
        <v>0.04</v>
      </c>
      <c r="J24" s="212">
        <f t="shared" si="2"/>
        <v>4237.3319777260276</v>
      </c>
      <c r="K24" s="222">
        <v>9.7000000000000003E-3</v>
      </c>
      <c r="L24" s="212">
        <f t="shared" si="3"/>
        <v>4378.5763769835612</v>
      </c>
      <c r="M24" s="222">
        <v>9.7000000000000003E-3</v>
      </c>
      <c r="N24" s="214"/>
      <c r="O24" s="221"/>
      <c r="P24" s="214"/>
      <c r="Q24" s="221"/>
      <c r="R24" s="214"/>
      <c r="S24" s="221"/>
      <c r="T24" s="214"/>
      <c r="U24" s="221"/>
      <c r="V24" s="214"/>
      <c r="W24" s="221"/>
      <c r="X24" s="214"/>
      <c r="Y24" s="221"/>
      <c r="Z24" s="214"/>
      <c r="AA24" s="221"/>
      <c r="AB24" s="214"/>
      <c r="AC24" s="221"/>
      <c r="AD24" s="214"/>
      <c r="AE24" s="221"/>
      <c r="AF24" s="214"/>
      <c r="AG24" s="221"/>
      <c r="AH24" s="214">
        <f t="shared" si="4"/>
        <v>8615.9083547095888</v>
      </c>
      <c r="AI24" s="218">
        <f t="shared" si="5"/>
        <v>9.7000000000000003E-3</v>
      </c>
      <c r="AJ24" s="220"/>
      <c r="AK24" s="220"/>
      <c r="AL24" s="220"/>
      <c r="AM24" s="220"/>
      <c r="AN24" s="220"/>
      <c r="AO24" s="220"/>
      <c r="AP24" s="220"/>
    </row>
    <row r="25" spans="1:42" ht="15.75" customHeight="1">
      <c r="A25" s="189"/>
      <c r="B25" s="190" t="s">
        <v>531</v>
      </c>
      <c r="C25" s="217" t="s">
        <v>532</v>
      </c>
      <c r="D25" s="214"/>
      <c r="E25" s="218"/>
      <c r="F25" s="214"/>
      <c r="G25" s="218"/>
      <c r="H25" s="212">
        <f>I25*F28</f>
        <v>0</v>
      </c>
      <c r="I25" s="219">
        <v>0</v>
      </c>
      <c r="J25" s="212">
        <f t="shared" si="2"/>
        <v>0</v>
      </c>
      <c r="K25" s="219">
        <v>0</v>
      </c>
      <c r="L25" s="212">
        <f t="shared" si="3"/>
        <v>0</v>
      </c>
      <c r="M25" s="219">
        <v>0</v>
      </c>
      <c r="N25" s="214"/>
      <c r="O25" s="218"/>
      <c r="P25" s="214"/>
      <c r="Q25" s="218"/>
      <c r="R25" s="214"/>
      <c r="S25" s="218"/>
      <c r="T25" s="214"/>
      <c r="U25" s="218"/>
      <c r="V25" s="214"/>
      <c r="W25" s="218"/>
      <c r="X25" s="214"/>
      <c r="Y25" s="218"/>
      <c r="Z25" s="214"/>
      <c r="AA25" s="218"/>
      <c r="AB25" s="214"/>
      <c r="AC25" s="218"/>
      <c r="AD25" s="214"/>
      <c r="AE25" s="218"/>
      <c r="AF25" s="214"/>
      <c r="AG25" s="218"/>
      <c r="AH25" s="214">
        <f t="shared" si="4"/>
        <v>0</v>
      </c>
      <c r="AI25" s="218">
        <f t="shared" si="5"/>
        <v>0</v>
      </c>
      <c r="AJ25" s="220"/>
      <c r="AK25" s="220"/>
      <c r="AL25" s="220"/>
      <c r="AM25" s="220"/>
      <c r="AN25" s="220"/>
      <c r="AO25" s="220"/>
      <c r="AP25" s="220"/>
    </row>
    <row r="26" spans="1:42" ht="15.75" customHeight="1">
      <c r="A26" s="189"/>
      <c r="B26" s="190" t="s">
        <v>724</v>
      </c>
      <c r="C26" s="217" t="s">
        <v>533</v>
      </c>
      <c r="D26" s="214"/>
      <c r="E26" s="221"/>
      <c r="F26" s="214"/>
      <c r="G26" s="221"/>
      <c r="H26" s="212">
        <f>H11*0.05</f>
        <v>0</v>
      </c>
      <c r="I26" s="222">
        <v>0</v>
      </c>
      <c r="J26" s="212">
        <f t="shared" si="2"/>
        <v>0</v>
      </c>
      <c r="K26" s="222">
        <v>0</v>
      </c>
      <c r="L26" s="212">
        <f t="shared" si="3"/>
        <v>0</v>
      </c>
      <c r="M26" s="222">
        <v>0</v>
      </c>
      <c r="N26" s="214"/>
      <c r="O26" s="221"/>
      <c r="P26" s="214"/>
      <c r="Q26" s="221"/>
      <c r="R26" s="214"/>
      <c r="S26" s="221"/>
      <c r="T26" s="214"/>
      <c r="U26" s="221"/>
      <c r="V26" s="214"/>
      <c r="W26" s="221"/>
      <c r="X26" s="214"/>
      <c r="Y26" s="221"/>
      <c r="Z26" s="214"/>
      <c r="AA26" s="221"/>
      <c r="AB26" s="214"/>
      <c r="AC26" s="221"/>
      <c r="AD26" s="214"/>
      <c r="AE26" s="221"/>
      <c r="AF26" s="214"/>
      <c r="AG26" s="221"/>
      <c r="AH26" s="214">
        <f t="shared" si="4"/>
        <v>0</v>
      </c>
      <c r="AI26" s="218">
        <f t="shared" si="5"/>
        <v>0</v>
      </c>
      <c r="AJ26" s="220"/>
      <c r="AK26" s="220"/>
      <c r="AL26" s="220"/>
      <c r="AM26" s="220"/>
      <c r="AN26" s="220"/>
      <c r="AO26" s="220"/>
      <c r="AP26" s="220"/>
    </row>
    <row r="27" spans="1:42" ht="15.75" customHeight="1">
      <c r="A27" s="189"/>
      <c r="B27" s="190" t="s">
        <v>725</v>
      </c>
      <c r="C27" s="217" t="s">
        <v>534</v>
      </c>
      <c r="D27" s="214"/>
      <c r="E27" s="221"/>
      <c r="F27" s="214"/>
      <c r="G27" s="221"/>
      <c r="H27" s="212">
        <f>(H7+H8+H9)*0.04</f>
        <v>11160</v>
      </c>
      <c r="I27" s="222">
        <f>H27/H28</f>
        <v>3.8461538461538464E-2</v>
      </c>
      <c r="J27" s="212">
        <f t="shared" si="2"/>
        <v>17473.533928767123</v>
      </c>
      <c r="K27" s="222">
        <v>0.04</v>
      </c>
      <c r="L27" s="212">
        <f t="shared" si="3"/>
        <v>18055.985059726027</v>
      </c>
      <c r="M27" s="222">
        <v>0.04</v>
      </c>
      <c r="N27" s="214"/>
      <c r="O27" s="221"/>
      <c r="P27" s="214"/>
      <c r="Q27" s="221"/>
      <c r="R27" s="214"/>
      <c r="S27" s="221"/>
      <c r="T27" s="214"/>
      <c r="U27" s="221"/>
      <c r="V27" s="214"/>
      <c r="W27" s="221"/>
      <c r="X27" s="214"/>
      <c r="Y27" s="221"/>
      <c r="Z27" s="214"/>
      <c r="AA27" s="221"/>
      <c r="AB27" s="214"/>
      <c r="AC27" s="221"/>
      <c r="AD27" s="214"/>
      <c r="AE27" s="221"/>
      <c r="AF27" s="214"/>
      <c r="AG27" s="221"/>
      <c r="AH27" s="214">
        <f>SUM(J27,L27,N27,P27,R27,T27,V27,X27,Z27,AB27,AD27,AF27+2)</f>
        <v>35531.518988493146</v>
      </c>
      <c r="AI27" s="218">
        <v>3.8501000000000001E-2</v>
      </c>
      <c r="AJ27" s="220"/>
      <c r="AK27" s="220"/>
      <c r="AL27" s="220"/>
      <c r="AM27" s="220"/>
      <c r="AN27" s="220"/>
      <c r="AO27" s="220"/>
      <c r="AP27" s="220"/>
    </row>
    <row r="28" spans="1:42" ht="15.75" customHeight="1">
      <c r="A28" s="223" t="s">
        <v>112</v>
      </c>
      <c r="B28" s="224"/>
      <c r="C28" s="225"/>
      <c r="D28" s="226"/>
      <c r="E28" s="227"/>
      <c r="F28" s="226"/>
      <c r="G28" s="227"/>
      <c r="H28" s="228">
        <f>(SUM(H7:I11))+H26+H27</f>
        <v>290160</v>
      </c>
      <c r="I28" s="229">
        <f>SUM(I19:I27)</f>
        <v>1.0004615384615385</v>
      </c>
      <c r="J28" s="228">
        <f>(SUM(J7:K12))</f>
        <v>436838.34821917809</v>
      </c>
      <c r="K28" s="229">
        <f>SUM(K19:K27)</f>
        <v>1</v>
      </c>
      <c r="L28" s="228">
        <f>(SUM(L7:M12))</f>
        <v>451399.62649315066</v>
      </c>
      <c r="M28" s="229">
        <f>SUM(M19:M27)</f>
        <v>1</v>
      </c>
      <c r="N28" s="226"/>
      <c r="O28" s="227"/>
      <c r="P28" s="226"/>
      <c r="Q28" s="227"/>
      <c r="R28" s="226"/>
      <c r="S28" s="227"/>
      <c r="T28" s="226"/>
      <c r="U28" s="227"/>
      <c r="V28" s="226"/>
      <c r="W28" s="227"/>
      <c r="X28" s="226"/>
      <c r="Y28" s="227"/>
      <c r="Z28" s="226"/>
      <c r="AA28" s="227"/>
      <c r="AB28" s="226"/>
      <c r="AC28" s="227"/>
      <c r="AD28" s="226"/>
      <c r="AE28" s="227"/>
      <c r="AF28" s="226"/>
      <c r="AG28" s="227"/>
      <c r="AH28" s="226">
        <f>(SUM(AH7:AI12))</f>
        <v>888237.97471232875</v>
      </c>
      <c r="AI28" s="230">
        <f>SUM(AI19:AI27)</f>
        <v>0.99850100000000019</v>
      </c>
      <c r="AJ28" s="231"/>
      <c r="AK28" s="231"/>
      <c r="AL28" s="231"/>
      <c r="AM28" s="231"/>
      <c r="AN28" s="231"/>
      <c r="AO28" s="231"/>
      <c r="AP28" s="231"/>
    </row>
    <row r="29" spans="1:42" ht="15.75" customHeight="1">
      <c r="A29" s="232" t="s">
        <v>113</v>
      </c>
      <c r="B29" s="209"/>
      <c r="C29" s="217"/>
      <c r="D29" s="210"/>
      <c r="E29" s="210"/>
      <c r="F29" s="210"/>
      <c r="G29" s="210"/>
      <c r="H29" s="211"/>
      <c r="I29" s="211"/>
      <c r="J29" s="212"/>
      <c r="K29" s="219"/>
      <c r="L29" s="212"/>
      <c r="M29" s="219"/>
      <c r="N29" s="214"/>
      <c r="O29" s="218"/>
      <c r="P29" s="214"/>
      <c r="Q29" s="218"/>
      <c r="R29" s="214"/>
      <c r="S29" s="218"/>
      <c r="T29" s="214"/>
      <c r="U29" s="218"/>
      <c r="V29" s="214"/>
      <c r="W29" s="218"/>
      <c r="X29" s="214"/>
      <c r="Y29" s="218"/>
      <c r="Z29" s="214"/>
      <c r="AA29" s="218"/>
      <c r="AB29" s="214"/>
      <c r="AC29" s="218"/>
      <c r="AD29" s="214"/>
      <c r="AE29" s="218"/>
      <c r="AF29" s="214"/>
      <c r="AG29" s="218"/>
      <c r="AH29" s="214"/>
      <c r="AI29" s="218"/>
      <c r="AJ29" s="220"/>
      <c r="AK29" s="220"/>
      <c r="AL29" s="220"/>
      <c r="AM29" s="220"/>
      <c r="AN29" s="220"/>
      <c r="AO29" s="220"/>
      <c r="AP29" s="220"/>
    </row>
    <row r="30" spans="1:42" ht="15.75" customHeight="1">
      <c r="A30" s="232"/>
      <c r="B30" s="209" t="s">
        <v>535</v>
      </c>
      <c r="C30" s="217" t="s">
        <v>459</v>
      </c>
      <c r="D30" s="214"/>
      <c r="E30" s="218"/>
      <c r="F30" s="214"/>
      <c r="G30" s="218"/>
      <c r="H30" s="212">
        <f t="shared" ref="H30:H35" si="6">H19*I30</f>
        <v>37503.18</v>
      </c>
      <c r="I30" s="219">
        <v>0.27500000000000002</v>
      </c>
      <c r="J30" s="212">
        <f t="shared" ref="J30:J35" si="7">J19*K30</f>
        <v>57662.661964931511</v>
      </c>
      <c r="K30" s="219">
        <v>0.27500000000000002</v>
      </c>
      <c r="L30" s="212">
        <f t="shared" ref="L30:L35" si="8">L19*M30</f>
        <v>59584.750697095886</v>
      </c>
      <c r="M30" s="219">
        <v>0.27500000000000002</v>
      </c>
      <c r="N30" s="214"/>
      <c r="O30" s="218"/>
      <c r="P30" s="214"/>
      <c r="Q30" s="218"/>
      <c r="R30" s="214"/>
      <c r="S30" s="218"/>
      <c r="T30" s="214"/>
      <c r="U30" s="218"/>
      <c r="V30" s="214"/>
      <c r="W30" s="218"/>
      <c r="X30" s="214"/>
      <c r="Y30" s="218"/>
      <c r="Z30" s="214"/>
      <c r="AA30" s="218"/>
      <c r="AB30" s="214"/>
      <c r="AC30" s="218"/>
      <c r="AD30" s="214"/>
      <c r="AE30" s="218"/>
      <c r="AF30" s="214"/>
      <c r="AG30" s="218"/>
      <c r="AH30" s="214">
        <f t="shared" ref="AH30:AH38" si="9">SUM(J30,L30,N30,P30,R30,T30,V30,X30,Z30,AB30,AD30,AF30)</f>
        <v>117247.4126620274</v>
      </c>
      <c r="AI30" s="218">
        <f t="shared" ref="AI30:AI35" si="10">IFERROR(AH30/AH19,0)</f>
        <v>0.27500000000000002</v>
      </c>
      <c r="AJ30" s="220"/>
      <c r="AK30" s="220"/>
      <c r="AL30" s="220"/>
      <c r="AM30" s="220"/>
      <c r="AN30" s="220"/>
      <c r="AO30" s="220"/>
      <c r="AP30" s="220"/>
    </row>
    <row r="31" spans="1:42" ht="15.75" customHeight="1">
      <c r="A31" s="232"/>
      <c r="B31" s="209" t="s">
        <v>536</v>
      </c>
      <c r="C31" s="217" t="s">
        <v>461</v>
      </c>
      <c r="D31" s="214"/>
      <c r="E31" s="218"/>
      <c r="F31" s="214"/>
      <c r="G31" s="218"/>
      <c r="H31" s="212">
        <f t="shared" si="6"/>
        <v>5910.5591999999997</v>
      </c>
      <c r="I31" s="219">
        <v>0.21</v>
      </c>
      <c r="J31" s="212">
        <f t="shared" si="7"/>
        <v>6880.2039844520541</v>
      </c>
      <c r="K31" s="219">
        <v>0.21</v>
      </c>
      <c r="L31" s="212">
        <f t="shared" si="8"/>
        <v>7109.5441172671217</v>
      </c>
      <c r="M31" s="219">
        <v>0.21</v>
      </c>
      <c r="N31" s="214"/>
      <c r="O31" s="218"/>
      <c r="P31" s="214"/>
      <c r="Q31" s="218"/>
      <c r="R31" s="214"/>
      <c r="S31" s="218"/>
      <c r="T31" s="214"/>
      <c r="U31" s="218"/>
      <c r="V31" s="214"/>
      <c r="W31" s="218"/>
      <c r="X31" s="214"/>
      <c r="Y31" s="218"/>
      <c r="Z31" s="214"/>
      <c r="AA31" s="218"/>
      <c r="AB31" s="214"/>
      <c r="AC31" s="218"/>
      <c r="AD31" s="214"/>
      <c r="AE31" s="218"/>
      <c r="AF31" s="214"/>
      <c r="AG31" s="218"/>
      <c r="AH31" s="214">
        <f t="shared" si="9"/>
        <v>13989.748101719175</v>
      </c>
      <c r="AI31" s="218">
        <f t="shared" si="10"/>
        <v>0.20999999999999996</v>
      </c>
      <c r="AJ31" s="220"/>
      <c r="AK31" s="220"/>
      <c r="AL31" s="220"/>
      <c r="AM31" s="220"/>
      <c r="AN31" s="220"/>
      <c r="AO31" s="220"/>
      <c r="AP31" s="220"/>
    </row>
    <row r="32" spans="1:42" ht="15.75" customHeight="1">
      <c r="A32" s="232"/>
      <c r="B32" s="209" t="s">
        <v>537</v>
      </c>
      <c r="C32" s="217" t="s">
        <v>462</v>
      </c>
      <c r="D32" s="214"/>
      <c r="E32" s="218"/>
      <c r="F32" s="214"/>
      <c r="G32" s="218"/>
      <c r="H32" s="212">
        <f t="shared" si="6"/>
        <v>16277.976000000002</v>
      </c>
      <c r="I32" s="219">
        <v>0.17</v>
      </c>
      <c r="J32" s="212">
        <f t="shared" si="7"/>
        <v>26957.29446860548</v>
      </c>
      <c r="K32" s="219">
        <v>0.17</v>
      </c>
      <c r="L32" s="212">
        <f t="shared" si="8"/>
        <v>27855.870950892331</v>
      </c>
      <c r="M32" s="219">
        <v>0.17</v>
      </c>
      <c r="N32" s="214"/>
      <c r="O32" s="218"/>
      <c r="P32" s="214"/>
      <c r="Q32" s="218"/>
      <c r="R32" s="214"/>
      <c r="S32" s="218"/>
      <c r="T32" s="214"/>
      <c r="U32" s="218"/>
      <c r="V32" s="214"/>
      <c r="W32" s="218"/>
      <c r="X32" s="214"/>
      <c r="Y32" s="218"/>
      <c r="Z32" s="214"/>
      <c r="AA32" s="218"/>
      <c r="AB32" s="214"/>
      <c r="AC32" s="218"/>
      <c r="AD32" s="214"/>
      <c r="AE32" s="218"/>
      <c r="AF32" s="214"/>
      <c r="AG32" s="218"/>
      <c r="AH32" s="214">
        <f t="shared" si="9"/>
        <v>54813.165419497811</v>
      </c>
      <c r="AI32" s="218">
        <f t="shared" si="10"/>
        <v>0.17</v>
      </c>
      <c r="AJ32" s="220"/>
      <c r="AK32" s="220"/>
      <c r="AL32" s="220"/>
      <c r="AM32" s="220"/>
      <c r="AN32" s="220"/>
      <c r="AO32" s="220"/>
      <c r="AP32" s="220"/>
    </row>
    <row r="33" spans="1:42" ht="15.75" customHeight="1">
      <c r="A33" s="232"/>
      <c r="B33" s="209" t="s">
        <v>538</v>
      </c>
      <c r="C33" s="217" t="s">
        <v>463</v>
      </c>
      <c r="D33" s="214"/>
      <c r="E33" s="218"/>
      <c r="F33" s="214"/>
      <c r="G33" s="218"/>
      <c r="H33" s="212">
        <f t="shared" si="6"/>
        <v>1044.5759999999998</v>
      </c>
      <c r="I33" s="219">
        <v>0.24</v>
      </c>
      <c r="J33" s="212">
        <f t="shared" si="7"/>
        <v>1887.141664306849</v>
      </c>
      <c r="K33" s="219">
        <v>0.24</v>
      </c>
      <c r="L33" s="212">
        <f t="shared" si="8"/>
        <v>1950.0463864504106</v>
      </c>
      <c r="M33" s="219">
        <v>0.24</v>
      </c>
      <c r="N33" s="214"/>
      <c r="O33" s="218"/>
      <c r="P33" s="214"/>
      <c r="Q33" s="218"/>
      <c r="R33" s="214"/>
      <c r="S33" s="218"/>
      <c r="T33" s="214"/>
      <c r="U33" s="218"/>
      <c r="V33" s="214"/>
      <c r="W33" s="218"/>
      <c r="X33" s="214"/>
      <c r="Y33" s="218"/>
      <c r="Z33" s="214"/>
      <c r="AA33" s="218"/>
      <c r="AB33" s="214"/>
      <c r="AC33" s="218"/>
      <c r="AD33" s="214"/>
      <c r="AE33" s="218"/>
      <c r="AF33" s="214"/>
      <c r="AG33" s="218"/>
      <c r="AH33" s="214">
        <f t="shared" si="9"/>
        <v>3837.1880507572596</v>
      </c>
      <c r="AI33" s="218">
        <f t="shared" si="10"/>
        <v>0.24</v>
      </c>
      <c r="AJ33" s="220"/>
      <c r="AK33" s="220"/>
      <c r="AL33" s="220"/>
      <c r="AM33" s="220"/>
      <c r="AN33" s="220"/>
      <c r="AO33" s="220"/>
      <c r="AP33" s="220"/>
    </row>
    <row r="34" spans="1:42" ht="15.75" customHeight="1">
      <c r="A34" s="232"/>
      <c r="B34" s="209" t="s">
        <v>726</v>
      </c>
      <c r="C34" s="217" t="s">
        <v>464</v>
      </c>
      <c r="D34" s="214"/>
      <c r="E34" s="218"/>
      <c r="F34" s="214"/>
      <c r="G34" s="218"/>
      <c r="H34" s="212">
        <f t="shared" si="6"/>
        <v>783.43200000000002</v>
      </c>
      <c r="I34" s="219">
        <v>0.27</v>
      </c>
      <c r="J34" s="212">
        <f t="shared" si="7"/>
        <v>1686.6328624742468</v>
      </c>
      <c r="K34" s="219">
        <v>0.27</v>
      </c>
      <c r="L34" s="212">
        <f t="shared" si="8"/>
        <v>1613.7536647130137</v>
      </c>
      <c r="M34" s="219">
        <v>0.25</v>
      </c>
      <c r="N34" s="214"/>
      <c r="O34" s="218"/>
      <c r="P34" s="214"/>
      <c r="Q34" s="218"/>
      <c r="R34" s="214"/>
      <c r="S34" s="218"/>
      <c r="T34" s="214"/>
      <c r="U34" s="218"/>
      <c r="V34" s="214"/>
      <c r="W34" s="218"/>
      <c r="X34" s="214"/>
      <c r="Y34" s="218"/>
      <c r="Z34" s="214"/>
      <c r="AA34" s="218"/>
      <c r="AB34" s="214"/>
      <c r="AC34" s="218"/>
      <c r="AD34" s="214"/>
      <c r="AE34" s="218"/>
      <c r="AF34" s="214"/>
      <c r="AG34" s="218"/>
      <c r="AH34" s="214">
        <f t="shared" si="9"/>
        <v>3300.3865271872605</v>
      </c>
      <c r="AI34" s="218">
        <f t="shared" si="10"/>
        <v>0.25983606557377054</v>
      </c>
      <c r="AJ34" s="220"/>
      <c r="AK34" s="220"/>
      <c r="AL34" s="220"/>
      <c r="AM34" s="220"/>
      <c r="AN34" s="220"/>
      <c r="AO34" s="220"/>
      <c r="AP34" s="220"/>
    </row>
    <row r="35" spans="1:42" ht="15.75" customHeight="1">
      <c r="A35" s="232"/>
      <c r="B35" s="209" t="s">
        <v>539</v>
      </c>
      <c r="C35" s="217" t="s">
        <v>460</v>
      </c>
      <c r="D35" s="214"/>
      <c r="E35" s="218"/>
      <c r="F35" s="214"/>
      <c r="G35" s="218"/>
      <c r="H35" s="212">
        <f t="shared" si="6"/>
        <v>2089.152</v>
      </c>
      <c r="I35" s="219">
        <v>0.18</v>
      </c>
      <c r="J35" s="212">
        <f t="shared" si="7"/>
        <v>762.71975599068492</v>
      </c>
      <c r="K35" s="219">
        <v>0.18</v>
      </c>
      <c r="L35" s="212">
        <f t="shared" si="8"/>
        <v>788.14374785704103</v>
      </c>
      <c r="M35" s="219">
        <v>0.18</v>
      </c>
      <c r="N35" s="214"/>
      <c r="O35" s="218"/>
      <c r="P35" s="214"/>
      <c r="Q35" s="218"/>
      <c r="R35" s="214"/>
      <c r="S35" s="218"/>
      <c r="T35" s="214"/>
      <c r="U35" s="218"/>
      <c r="V35" s="214"/>
      <c r="W35" s="218"/>
      <c r="X35" s="214"/>
      <c r="Y35" s="218"/>
      <c r="Z35" s="214"/>
      <c r="AA35" s="218"/>
      <c r="AB35" s="214"/>
      <c r="AC35" s="218"/>
      <c r="AD35" s="214"/>
      <c r="AE35" s="218"/>
      <c r="AF35" s="214"/>
      <c r="AG35" s="218"/>
      <c r="AH35" s="214">
        <f t="shared" si="9"/>
        <v>1550.863503847726</v>
      </c>
      <c r="AI35" s="218">
        <f t="shared" si="10"/>
        <v>0.18</v>
      </c>
      <c r="AJ35" s="220"/>
      <c r="AK35" s="220"/>
      <c r="AL35" s="220"/>
      <c r="AM35" s="220"/>
      <c r="AN35" s="220"/>
      <c r="AO35" s="220"/>
      <c r="AP35" s="220"/>
    </row>
    <row r="36" spans="1:42" ht="15.75" customHeight="1">
      <c r="A36" s="232"/>
      <c r="B36" s="209" t="s">
        <v>727</v>
      </c>
      <c r="C36" s="217" t="s">
        <v>532</v>
      </c>
      <c r="D36" s="233"/>
      <c r="E36" s="218"/>
      <c r="F36" s="233"/>
      <c r="G36" s="218"/>
      <c r="H36" s="234">
        <v>0</v>
      </c>
      <c r="I36" s="219"/>
      <c r="J36" s="234">
        <v>0</v>
      </c>
      <c r="K36" s="219"/>
      <c r="L36" s="234">
        <v>0</v>
      </c>
      <c r="M36" s="219"/>
      <c r="N36" s="233"/>
      <c r="O36" s="218"/>
      <c r="P36" s="233"/>
      <c r="Q36" s="218"/>
      <c r="R36" s="233"/>
      <c r="S36" s="218"/>
      <c r="T36" s="233"/>
      <c r="U36" s="218"/>
      <c r="V36" s="233"/>
      <c r="W36" s="218"/>
      <c r="X36" s="233"/>
      <c r="Y36" s="218"/>
      <c r="Z36" s="233"/>
      <c r="AA36" s="218"/>
      <c r="AB36" s="233"/>
      <c r="AC36" s="218"/>
      <c r="AD36" s="233"/>
      <c r="AE36" s="218"/>
      <c r="AF36" s="233"/>
      <c r="AG36" s="218"/>
      <c r="AH36" s="214">
        <f t="shared" si="9"/>
        <v>0</v>
      </c>
      <c r="AI36" s="218"/>
      <c r="AJ36" s="220"/>
      <c r="AK36" s="220"/>
      <c r="AL36" s="220"/>
      <c r="AM36" s="220"/>
      <c r="AN36" s="220"/>
      <c r="AO36" s="220"/>
      <c r="AP36" s="220"/>
    </row>
    <row r="37" spans="1:42" ht="15.75" customHeight="1">
      <c r="A37" s="232"/>
      <c r="B37" s="209"/>
      <c r="C37" s="235" t="s">
        <v>533</v>
      </c>
      <c r="D37" s="233"/>
      <c r="E37" s="218"/>
      <c r="F37" s="233"/>
      <c r="G37" s="218"/>
      <c r="H37" s="234">
        <v>0</v>
      </c>
      <c r="I37" s="219"/>
      <c r="J37" s="234">
        <v>0</v>
      </c>
      <c r="K37" s="219"/>
      <c r="L37" s="234">
        <v>0</v>
      </c>
      <c r="M37" s="219"/>
      <c r="N37" s="233"/>
      <c r="O37" s="218"/>
      <c r="P37" s="233"/>
      <c r="Q37" s="218"/>
      <c r="R37" s="233"/>
      <c r="S37" s="218"/>
      <c r="T37" s="233"/>
      <c r="U37" s="218"/>
      <c r="V37" s="233"/>
      <c r="W37" s="218"/>
      <c r="X37" s="233"/>
      <c r="Y37" s="218"/>
      <c r="Z37" s="233"/>
      <c r="AA37" s="218"/>
      <c r="AB37" s="233"/>
      <c r="AC37" s="218"/>
      <c r="AD37" s="233"/>
      <c r="AE37" s="218"/>
      <c r="AF37" s="233"/>
      <c r="AG37" s="218"/>
      <c r="AH37" s="214">
        <f t="shared" si="9"/>
        <v>0</v>
      </c>
      <c r="AI37" s="218"/>
      <c r="AJ37" s="220"/>
      <c r="AK37" s="220"/>
      <c r="AL37" s="220"/>
      <c r="AM37" s="220"/>
      <c r="AN37" s="220"/>
      <c r="AO37" s="220"/>
      <c r="AP37" s="220"/>
    </row>
    <row r="38" spans="1:42" ht="15.75" customHeight="1">
      <c r="A38" s="232"/>
      <c r="B38" s="209"/>
      <c r="C38" s="236" t="s">
        <v>540</v>
      </c>
      <c r="D38" s="233"/>
      <c r="E38" s="218"/>
      <c r="F38" s="233"/>
      <c r="G38" s="218"/>
      <c r="H38" s="234">
        <v>0</v>
      </c>
      <c r="I38" s="219"/>
      <c r="J38" s="234">
        <v>0</v>
      </c>
      <c r="K38" s="219"/>
      <c r="L38" s="234">
        <v>0</v>
      </c>
      <c r="M38" s="219"/>
      <c r="N38" s="233"/>
      <c r="O38" s="218"/>
      <c r="P38" s="233"/>
      <c r="Q38" s="218"/>
      <c r="R38" s="233"/>
      <c r="S38" s="218"/>
      <c r="T38" s="233"/>
      <c r="U38" s="218"/>
      <c r="V38" s="233"/>
      <c r="W38" s="218"/>
      <c r="X38" s="233"/>
      <c r="Y38" s="218"/>
      <c r="Z38" s="233"/>
      <c r="AA38" s="218"/>
      <c r="AB38" s="233"/>
      <c r="AC38" s="218"/>
      <c r="AD38" s="233"/>
      <c r="AE38" s="218"/>
      <c r="AF38" s="233"/>
      <c r="AG38" s="218"/>
      <c r="AH38" s="214">
        <f t="shared" si="9"/>
        <v>0</v>
      </c>
      <c r="AI38" s="218"/>
      <c r="AJ38" s="220"/>
      <c r="AK38" s="220"/>
      <c r="AL38" s="220"/>
      <c r="AM38" s="220"/>
      <c r="AN38" s="220"/>
      <c r="AO38" s="220"/>
      <c r="AP38" s="220"/>
    </row>
    <row r="39" spans="1:42" ht="15.75" customHeight="1">
      <c r="A39" s="232"/>
      <c r="B39" s="209"/>
      <c r="C39" s="237" t="s">
        <v>541</v>
      </c>
      <c r="D39" s="238"/>
      <c r="E39" s="239"/>
      <c r="F39" s="238"/>
      <c r="G39" s="239"/>
      <c r="H39" s="240">
        <f>H30+H34+H35</f>
        <v>40375.764000000003</v>
      </c>
      <c r="I39" s="241">
        <f>H39/(H19+H23+H24)</f>
        <v>0.26759615384615387</v>
      </c>
      <c r="J39" s="240">
        <f>J30+J34+J35</f>
        <v>60112.014583396442</v>
      </c>
      <c r="K39" s="241">
        <f>J39/(J19+J23+J24)</f>
        <v>0.27302976190476197</v>
      </c>
      <c r="L39" s="240">
        <f>L30+L34+L35</f>
        <v>61986.648109665941</v>
      </c>
      <c r="M39" s="241">
        <f>L39/(L19+L23+L24)</f>
        <v>0.27246230158730161</v>
      </c>
      <c r="N39" s="238"/>
      <c r="O39" s="239"/>
      <c r="P39" s="238"/>
      <c r="Q39" s="239"/>
      <c r="R39" s="238"/>
      <c r="S39" s="239"/>
      <c r="T39" s="238"/>
      <c r="U39" s="239"/>
      <c r="V39" s="238"/>
      <c r="W39" s="239"/>
      <c r="X39" s="238"/>
      <c r="Y39" s="239"/>
      <c r="Z39" s="238"/>
      <c r="AA39" s="239"/>
      <c r="AB39" s="238"/>
      <c r="AC39" s="239"/>
      <c r="AD39" s="238"/>
      <c r="AE39" s="239"/>
      <c r="AF39" s="238"/>
      <c r="AG39" s="239"/>
      <c r="AH39" s="238">
        <f>AH30+AH34+AH35</f>
        <v>122098.66269306239</v>
      </c>
      <c r="AI39" s="239">
        <f>AH39/(AH19+AH23+AH24)</f>
        <v>0.27274138043195423</v>
      </c>
      <c r="AJ39" s="242"/>
      <c r="AK39" s="242"/>
      <c r="AL39" s="242"/>
      <c r="AM39" s="242"/>
      <c r="AN39" s="242"/>
      <c r="AO39" s="242"/>
      <c r="AP39" s="220"/>
    </row>
    <row r="40" spans="1:42" ht="15.75" customHeight="1">
      <c r="A40" s="189"/>
      <c r="B40" s="190"/>
      <c r="C40" s="237" t="s">
        <v>542</v>
      </c>
      <c r="D40" s="238"/>
      <c r="E40" s="239"/>
      <c r="F40" s="238"/>
      <c r="G40" s="239"/>
      <c r="H40" s="240">
        <f>SUM(H31:H33)</f>
        <v>23233.111200000003</v>
      </c>
      <c r="I40" s="241">
        <f>H40/(H21+H22+H20)</f>
        <v>0.18115384615384617</v>
      </c>
      <c r="J40" s="240">
        <f>SUM(J31:J33)</f>
        <v>35724.640117364383</v>
      </c>
      <c r="K40" s="241">
        <f>J40/(J21+J22+J20)</f>
        <v>0.17934210526315789</v>
      </c>
      <c r="L40" s="240">
        <f>SUM(L31:L33)</f>
        <v>36915.461454609867</v>
      </c>
      <c r="M40" s="241">
        <f>L40/(L21+L22+L20)</f>
        <v>0.17934210526315794</v>
      </c>
      <c r="N40" s="238"/>
      <c r="O40" s="239"/>
      <c r="P40" s="238"/>
      <c r="Q40" s="239"/>
      <c r="R40" s="238"/>
      <c r="S40" s="239"/>
      <c r="T40" s="238"/>
      <c r="U40" s="239"/>
      <c r="V40" s="238"/>
      <c r="W40" s="239"/>
      <c r="X40" s="238"/>
      <c r="Y40" s="239"/>
      <c r="Z40" s="238"/>
      <c r="AA40" s="239"/>
      <c r="AB40" s="238"/>
      <c r="AC40" s="239"/>
      <c r="AD40" s="238"/>
      <c r="AE40" s="239"/>
      <c r="AF40" s="238"/>
      <c r="AG40" s="239"/>
      <c r="AH40" s="238">
        <f>SUM(AH31:AH33)</f>
        <v>72640.101571974243</v>
      </c>
      <c r="AI40" s="239">
        <f>AH40/(AH21+AH22+AH20)</f>
        <v>0.17934210526315789</v>
      </c>
      <c r="AJ40" s="242"/>
      <c r="AK40" s="242"/>
      <c r="AL40" s="242"/>
      <c r="AM40" s="242"/>
      <c r="AN40" s="242"/>
      <c r="AO40" s="242"/>
      <c r="AP40" s="243"/>
    </row>
    <row r="41" spans="1:42" ht="15.75" customHeight="1">
      <c r="A41" s="200" t="s">
        <v>118</v>
      </c>
      <c r="B41" s="201"/>
      <c r="C41" s="202"/>
      <c r="D41" s="244"/>
      <c r="E41" s="245"/>
      <c r="F41" s="244"/>
      <c r="G41" s="245"/>
      <c r="H41" s="246">
        <f>SUM(H30:H35)</f>
        <v>63608.875200000002</v>
      </c>
      <c r="I41" s="247">
        <f>H41/H28</f>
        <v>0.21922</v>
      </c>
      <c r="J41" s="246">
        <f>SUM(J30:J35)</f>
        <v>95836.654700760817</v>
      </c>
      <c r="K41" s="247">
        <f>J41/J28</f>
        <v>0.21938699999999997</v>
      </c>
      <c r="L41" s="246">
        <f>SUM(L30:L35)</f>
        <v>98902.109564275816</v>
      </c>
      <c r="M41" s="247">
        <f>L41/L28</f>
        <v>0.21910100000000002</v>
      </c>
      <c r="N41" s="244"/>
      <c r="O41" s="245"/>
      <c r="P41" s="244"/>
      <c r="Q41" s="245"/>
      <c r="R41" s="244"/>
      <c r="S41" s="245"/>
      <c r="T41" s="244"/>
      <c r="U41" s="245"/>
      <c r="V41" s="244"/>
      <c r="W41" s="245"/>
      <c r="X41" s="244"/>
      <c r="Y41" s="245"/>
      <c r="Z41" s="244"/>
      <c r="AA41" s="245"/>
      <c r="AB41" s="244"/>
      <c r="AC41" s="245"/>
      <c r="AD41" s="244"/>
      <c r="AE41" s="245"/>
      <c r="AF41" s="244"/>
      <c r="AG41" s="245"/>
      <c r="AH41" s="244">
        <f>SUM(AH30:AH35)</f>
        <v>194738.76426503665</v>
      </c>
      <c r="AI41" s="245">
        <f>AH41/AH28</f>
        <v>0.21924165573770493</v>
      </c>
      <c r="AJ41" s="243"/>
      <c r="AK41" s="243"/>
      <c r="AL41" s="243"/>
      <c r="AM41" s="243"/>
      <c r="AN41" s="243"/>
      <c r="AO41" s="243"/>
      <c r="AP41" s="243"/>
    </row>
    <row r="42" spans="1:42" ht="15.75" customHeight="1">
      <c r="A42" s="189" t="s">
        <v>119</v>
      </c>
      <c r="B42" s="190"/>
      <c r="C42" s="217"/>
      <c r="D42" s="210"/>
      <c r="E42" s="210"/>
      <c r="F42" s="210"/>
      <c r="G42" s="210"/>
      <c r="H42" s="211"/>
      <c r="I42" s="211"/>
      <c r="J42" s="212"/>
      <c r="K42" s="219"/>
      <c r="L42" s="212"/>
      <c r="M42" s="219"/>
      <c r="N42" s="214"/>
      <c r="O42" s="218"/>
      <c r="P42" s="214"/>
      <c r="Q42" s="218"/>
      <c r="R42" s="214"/>
      <c r="S42" s="218"/>
      <c r="T42" s="214"/>
      <c r="U42" s="218"/>
      <c r="V42" s="214"/>
      <c r="W42" s="218"/>
      <c r="X42" s="214"/>
      <c r="Y42" s="218"/>
      <c r="Z42" s="214"/>
      <c r="AA42" s="218"/>
      <c r="AB42" s="214"/>
      <c r="AC42" s="218"/>
      <c r="AD42" s="214"/>
      <c r="AE42" s="218"/>
      <c r="AF42" s="214"/>
      <c r="AG42" s="218"/>
      <c r="AH42" s="214"/>
      <c r="AI42" s="218"/>
      <c r="AJ42" s="220"/>
      <c r="AK42" s="220"/>
      <c r="AL42" s="220"/>
      <c r="AM42" s="220"/>
      <c r="AN42" s="220"/>
      <c r="AO42" s="220"/>
      <c r="AP42" s="220"/>
    </row>
    <row r="43" spans="1:42" ht="15.75" customHeight="1">
      <c r="A43" s="189"/>
      <c r="B43" s="190"/>
      <c r="C43" s="217" t="s">
        <v>459</v>
      </c>
      <c r="D43" s="214"/>
      <c r="E43" s="218"/>
      <c r="F43" s="214"/>
      <c r="G43" s="218"/>
      <c r="H43" s="212">
        <f t="shared" ref="H43:H51" si="11">H19-H30</f>
        <v>98872.01999999999</v>
      </c>
      <c r="I43" s="219">
        <f t="shared" ref="I43:I51" si="12">IFERROR(H43/H19,0)</f>
        <v>0.72499999999999998</v>
      </c>
      <c r="J43" s="212">
        <f t="shared" ref="J43:J51" si="13">J19-J30</f>
        <v>152019.74518027395</v>
      </c>
      <c r="K43" s="219">
        <f t="shared" ref="K43:K51" si="14">IFERROR(J43/J19,0)</f>
        <v>0.72499999999999987</v>
      </c>
      <c r="L43" s="212">
        <f t="shared" ref="L43:L51" si="15">L19-L30</f>
        <v>157087.07001961643</v>
      </c>
      <c r="M43" s="219">
        <f t="shared" ref="M43:M51" si="16">IFERROR(L43/L19,0)</f>
        <v>0.72499999999999998</v>
      </c>
      <c r="N43" s="214"/>
      <c r="O43" s="218"/>
      <c r="P43" s="214"/>
      <c r="Q43" s="218"/>
      <c r="R43" s="214"/>
      <c r="S43" s="218"/>
      <c r="T43" s="214"/>
      <c r="U43" s="218"/>
      <c r="V43" s="214"/>
      <c r="W43" s="218"/>
      <c r="X43" s="214"/>
      <c r="Y43" s="218"/>
      <c r="Z43" s="214"/>
      <c r="AA43" s="218"/>
      <c r="AB43" s="214"/>
      <c r="AC43" s="218"/>
      <c r="AD43" s="214"/>
      <c r="AE43" s="218"/>
      <c r="AF43" s="214"/>
      <c r="AG43" s="218"/>
      <c r="AH43" s="214">
        <f t="shared" ref="AH43:AH51" si="17">SUM(J43,L43,N43,P43,R43,T43,V43,X43,Z43,AB43,AD43,AF43)</f>
        <v>309106.81519989041</v>
      </c>
      <c r="AI43" s="218">
        <f t="shared" ref="AI43:AI51" si="18">IFERROR(AH43/AH19,0)</f>
        <v>0.72499999999999998</v>
      </c>
      <c r="AJ43" s="220"/>
      <c r="AK43" s="220"/>
      <c r="AL43" s="220"/>
      <c r="AM43" s="220"/>
      <c r="AN43" s="220"/>
      <c r="AO43" s="220"/>
      <c r="AP43" s="220"/>
    </row>
    <row r="44" spans="1:42" ht="15.75" customHeight="1">
      <c r="A44" s="189"/>
      <c r="B44" s="190"/>
      <c r="C44" s="217" t="s">
        <v>461</v>
      </c>
      <c r="D44" s="214"/>
      <c r="E44" s="218"/>
      <c r="F44" s="214"/>
      <c r="G44" s="218"/>
      <c r="H44" s="212">
        <f t="shared" si="11"/>
        <v>22234.960800000001</v>
      </c>
      <c r="I44" s="219">
        <f t="shared" si="12"/>
        <v>0.79</v>
      </c>
      <c r="J44" s="212">
        <f t="shared" si="13"/>
        <v>25882.672131986299</v>
      </c>
      <c r="K44" s="219">
        <f t="shared" si="14"/>
        <v>0.79</v>
      </c>
      <c r="L44" s="212">
        <f t="shared" si="15"/>
        <v>26745.427869719177</v>
      </c>
      <c r="M44" s="219">
        <f t="shared" si="16"/>
        <v>0.79</v>
      </c>
      <c r="N44" s="214"/>
      <c r="O44" s="218"/>
      <c r="P44" s="214"/>
      <c r="Q44" s="218"/>
      <c r="R44" s="214"/>
      <c r="S44" s="218"/>
      <c r="T44" s="214"/>
      <c r="U44" s="218"/>
      <c r="V44" s="214"/>
      <c r="W44" s="218"/>
      <c r="X44" s="214"/>
      <c r="Y44" s="218"/>
      <c r="Z44" s="214"/>
      <c r="AA44" s="218"/>
      <c r="AB44" s="214"/>
      <c r="AC44" s="218"/>
      <c r="AD44" s="214"/>
      <c r="AE44" s="218"/>
      <c r="AF44" s="214"/>
      <c r="AG44" s="218"/>
      <c r="AH44" s="214">
        <f t="shared" si="17"/>
        <v>52628.100001705476</v>
      </c>
      <c r="AI44" s="218">
        <f t="shared" si="18"/>
        <v>0.79</v>
      </c>
      <c r="AJ44" s="220"/>
      <c r="AK44" s="220"/>
      <c r="AL44" s="220"/>
      <c r="AM44" s="220"/>
      <c r="AN44" s="220"/>
      <c r="AO44" s="220"/>
      <c r="AP44" s="220"/>
    </row>
    <row r="45" spans="1:42" ht="15.75" customHeight="1">
      <c r="A45" s="189"/>
      <c r="B45" s="190"/>
      <c r="C45" s="217" t="s">
        <v>462</v>
      </c>
      <c r="D45" s="214"/>
      <c r="E45" s="218"/>
      <c r="F45" s="214"/>
      <c r="G45" s="218"/>
      <c r="H45" s="212">
        <f t="shared" si="11"/>
        <v>79474.823999999993</v>
      </c>
      <c r="I45" s="219">
        <f t="shared" si="12"/>
        <v>0.82999999999999985</v>
      </c>
      <c r="J45" s="212">
        <f t="shared" si="13"/>
        <v>131615.02593495615</v>
      </c>
      <c r="K45" s="219">
        <f t="shared" si="14"/>
        <v>0.83</v>
      </c>
      <c r="L45" s="212">
        <f t="shared" si="15"/>
        <v>136002.19346612136</v>
      </c>
      <c r="M45" s="219">
        <f t="shared" si="16"/>
        <v>0.83</v>
      </c>
      <c r="N45" s="214"/>
      <c r="O45" s="218"/>
      <c r="P45" s="214"/>
      <c r="Q45" s="218"/>
      <c r="R45" s="214"/>
      <c r="S45" s="218"/>
      <c r="T45" s="214"/>
      <c r="U45" s="218"/>
      <c r="V45" s="214"/>
      <c r="W45" s="218"/>
      <c r="X45" s="214"/>
      <c r="Y45" s="218"/>
      <c r="Z45" s="214"/>
      <c r="AA45" s="218"/>
      <c r="AB45" s="214"/>
      <c r="AC45" s="218"/>
      <c r="AD45" s="214"/>
      <c r="AE45" s="218"/>
      <c r="AF45" s="214"/>
      <c r="AG45" s="218"/>
      <c r="AH45" s="214">
        <f t="shared" si="17"/>
        <v>267617.21940107748</v>
      </c>
      <c r="AI45" s="218">
        <f t="shared" si="18"/>
        <v>0.82999999999999985</v>
      </c>
      <c r="AJ45" s="220"/>
      <c r="AK45" s="220"/>
      <c r="AL45" s="220"/>
      <c r="AM45" s="220"/>
      <c r="AN45" s="220"/>
      <c r="AO45" s="220"/>
      <c r="AP45" s="220"/>
    </row>
    <row r="46" spans="1:42" ht="15.75" customHeight="1">
      <c r="A46" s="189"/>
      <c r="B46" s="190"/>
      <c r="C46" s="217" t="s">
        <v>463</v>
      </c>
      <c r="D46" s="214"/>
      <c r="E46" s="218"/>
      <c r="F46" s="214"/>
      <c r="G46" s="218"/>
      <c r="H46" s="212">
        <f t="shared" si="11"/>
        <v>3307.8239999999996</v>
      </c>
      <c r="I46" s="219">
        <f t="shared" si="12"/>
        <v>0.76</v>
      </c>
      <c r="J46" s="212">
        <f t="shared" si="13"/>
        <v>5975.948603638356</v>
      </c>
      <c r="K46" s="219">
        <f t="shared" si="14"/>
        <v>0.76</v>
      </c>
      <c r="L46" s="212">
        <f t="shared" si="15"/>
        <v>6175.1468904263002</v>
      </c>
      <c r="M46" s="219">
        <f t="shared" si="16"/>
        <v>0.76</v>
      </c>
      <c r="N46" s="214"/>
      <c r="O46" s="218"/>
      <c r="P46" s="214"/>
      <c r="Q46" s="218"/>
      <c r="R46" s="214"/>
      <c r="S46" s="218"/>
      <c r="T46" s="214"/>
      <c r="U46" s="218"/>
      <c r="V46" s="214"/>
      <c r="W46" s="218"/>
      <c r="X46" s="214"/>
      <c r="Y46" s="218"/>
      <c r="Z46" s="214"/>
      <c r="AA46" s="218"/>
      <c r="AB46" s="214"/>
      <c r="AC46" s="218"/>
      <c r="AD46" s="214"/>
      <c r="AE46" s="218"/>
      <c r="AF46" s="214"/>
      <c r="AG46" s="218"/>
      <c r="AH46" s="214">
        <f t="shared" si="17"/>
        <v>12151.095494064655</v>
      </c>
      <c r="AI46" s="218">
        <f t="shared" si="18"/>
        <v>0.76</v>
      </c>
      <c r="AJ46" s="220"/>
      <c r="AK46" s="220"/>
      <c r="AL46" s="220"/>
      <c r="AM46" s="220"/>
      <c r="AN46" s="220"/>
      <c r="AO46" s="220"/>
      <c r="AP46" s="220"/>
    </row>
    <row r="47" spans="1:42" ht="15.75" customHeight="1">
      <c r="A47" s="189"/>
      <c r="B47" s="190"/>
      <c r="C47" s="217" t="s">
        <v>464</v>
      </c>
      <c r="D47" s="214"/>
      <c r="E47" s="218"/>
      <c r="F47" s="214"/>
      <c r="G47" s="218"/>
      <c r="H47" s="212">
        <f t="shared" si="11"/>
        <v>2118.1679999999997</v>
      </c>
      <c r="I47" s="219">
        <f t="shared" si="12"/>
        <v>0.72999999999999987</v>
      </c>
      <c r="J47" s="212">
        <f t="shared" si="13"/>
        <v>4560.1555170600004</v>
      </c>
      <c r="K47" s="219">
        <f t="shared" si="14"/>
        <v>0.73000000000000009</v>
      </c>
      <c r="L47" s="212">
        <f t="shared" si="15"/>
        <v>4841.260994139041</v>
      </c>
      <c r="M47" s="219">
        <f t="shared" si="16"/>
        <v>0.75</v>
      </c>
      <c r="N47" s="214"/>
      <c r="O47" s="218"/>
      <c r="P47" s="214"/>
      <c r="Q47" s="218"/>
      <c r="R47" s="214"/>
      <c r="S47" s="218"/>
      <c r="T47" s="214"/>
      <c r="U47" s="218"/>
      <c r="V47" s="214"/>
      <c r="W47" s="218"/>
      <c r="X47" s="214"/>
      <c r="Y47" s="218"/>
      <c r="Z47" s="214"/>
      <c r="AA47" s="218"/>
      <c r="AB47" s="214"/>
      <c r="AC47" s="218"/>
      <c r="AD47" s="214"/>
      <c r="AE47" s="218"/>
      <c r="AF47" s="214"/>
      <c r="AG47" s="218"/>
      <c r="AH47" s="214">
        <f t="shared" si="17"/>
        <v>9401.4165111990405</v>
      </c>
      <c r="AI47" s="218">
        <f t="shared" si="18"/>
        <v>0.74016393442622952</v>
      </c>
      <c r="AJ47" s="220"/>
      <c r="AK47" s="220"/>
      <c r="AL47" s="220"/>
      <c r="AM47" s="220"/>
      <c r="AN47" s="220"/>
      <c r="AO47" s="220"/>
      <c r="AP47" s="220"/>
    </row>
    <row r="48" spans="1:42" ht="15.75" customHeight="1">
      <c r="A48" s="232"/>
      <c r="B48" s="209"/>
      <c r="C48" s="217" t="s">
        <v>460</v>
      </c>
      <c r="D48" s="214"/>
      <c r="E48" s="218"/>
      <c r="F48" s="214"/>
      <c r="G48" s="218"/>
      <c r="H48" s="212">
        <f t="shared" si="11"/>
        <v>9517.2479999999996</v>
      </c>
      <c r="I48" s="219">
        <f t="shared" si="12"/>
        <v>0.82</v>
      </c>
      <c r="J48" s="212">
        <f t="shared" si="13"/>
        <v>3474.6122217353427</v>
      </c>
      <c r="K48" s="219">
        <f t="shared" si="14"/>
        <v>0.82000000000000006</v>
      </c>
      <c r="L48" s="212">
        <f t="shared" si="15"/>
        <v>3590.4326291265202</v>
      </c>
      <c r="M48" s="219">
        <f t="shared" si="16"/>
        <v>0.82</v>
      </c>
      <c r="N48" s="214"/>
      <c r="O48" s="218"/>
      <c r="P48" s="214"/>
      <c r="Q48" s="218"/>
      <c r="R48" s="214"/>
      <c r="S48" s="218"/>
      <c r="T48" s="214"/>
      <c r="U48" s="218"/>
      <c r="V48" s="214"/>
      <c r="W48" s="218"/>
      <c r="X48" s="214"/>
      <c r="Y48" s="218"/>
      <c r="Z48" s="214"/>
      <c r="AA48" s="218"/>
      <c r="AB48" s="214"/>
      <c r="AC48" s="218"/>
      <c r="AD48" s="214"/>
      <c r="AE48" s="218"/>
      <c r="AF48" s="214"/>
      <c r="AG48" s="218"/>
      <c r="AH48" s="214">
        <f t="shared" si="17"/>
        <v>7065.0448508618629</v>
      </c>
      <c r="AI48" s="218">
        <f t="shared" si="18"/>
        <v>0.82</v>
      </c>
      <c r="AJ48" s="220"/>
      <c r="AK48" s="220"/>
      <c r="AL48" s="220"/>
      <c r="AM48" s="220"/>
      <c r="AN48" s="220"/>
      <c r="AO48" s="220"/>
      <c r="AP48" s="220"/>
    </row>
    <row r="49" spans="1:42" ht="15.75" customHeight="1">
      <c r="A49" s="189"/>
      <c r="B49" s="190"/>
      <c r="C49" s="217" t="s">
        <v>532</v>
      </c>
      <c r="D49" s="214"/>
      <c r="E49" s="218"/>
      <c r="F49" s="214"/>
      <c r="G49" s="218"/>
      <c r="H49" s="212">
        <f t="shared" si="11"/>
        <v>0</v>
      </c>
      <c r="I49" s="219">
        <f t="shared" si="12"/>
        <v>0</v>
      </c>
      <c r="J49" s="212">
        <f t="shared" si="13"/>
        <v>0</v>
      </c>
      <c r="K49" s="219">
        <f t="shared" si="14"/>
        <v>0</v>
      </c>
      <c r="L49" s="212">
        <f t="shared" si="15"/>
        <v>0</v>
      </c>
      <c r="M49" s="219">
        <f t="shared" si="16"/>
        <v>0</v>
      </c>
      <c r="N49" s="214"/>
      <c r="O49" s="218"/>
      <c r="P49" s="214"/>
      <c r="Q49" s="218"/>
      <c r="R49" s="214"/>
      <c r="S49" s="218"/>
      <c r="T49" s="214"/>
      <c r="U49" s="218"/>
      <c r="V49" s="214"/>
      <c r="W49" s="218"/>
      <c r="X49" s="214"/>
      <c r="Y49" s="218"/>
      <c r="Z49" s="214"/>
      <c r="AA49" s="218"/>
      <c r="AB49" s="214"/>
      <c r="AC49" s="218"/>
      <c r="AD49" s="214"/>
      <c r="AE49" s="218"/>
      <c r="AF49" s="214"/>
      <c r="AG49" s="218"/>
      <c r="AH49" s="214">
        <f t="shared" si="17"/>
        <v>0</v>
      </c>
      <c r="AI49" s="218">
        <f t="shared" si="18"/>
        <v>0</v>
      </c>
      <c r="AJ49" s="220"/>
      <c r="AK49" s="220"/>
      <c r="AL49" s="220"/>
      <c r="AM49" s="220"/>
      <c r="AN49" s="220"/>
      <c r="AO49" s="220"/>
      <c r="AP49" s="220"/>
    </row>
    <row r="50" spans="1:42" ht="15.75" customHeight="1">
      <c r="A50" s="189"/>
      <c r="B50" s="190"/>
      <c r="C50" s="235" t="s">
        <v>533</v>
      </c>
      <c r="D50" s="214"/>
      <c r="E50" s="218"/>
      <c r="F50" s="214"/>
      <c r="G50" s="218"/>
      <c r="H50" s="212">
        <f t="shared" si="11"/>
        <v>0</v>
      </c>
      <c r="I50" s="219">
        <f t="shared" si="12"/>
        <v>0</v>
      </c>
      <c r="J50" s="212">
        <f t="shared" si="13"/>
        <v>0</v>
      </c>
      <c r="K50" s="219">
        <f t="shared" si="14"/>
        <v>0</v>
      </c>
      <c r="L50" s="212">
        <f t="shared" si="15"/>
        <v>0</v>
      </c>
      <c r="M50" s="219">
        <f t="shared" si="16"/>
        <v>0</v>
      </c>
      <c r="N50" s="214"/>
      <c r="O50" s="218"/>
      <c r="P50" s="214"/>
      <c r="Q50" s="218"/>
      <c r="R50" s="214"/>
      <c r="S50" s="218"/>
      <c r="T50" s="214"/>
      <c r="U50" s="218"/>
      <c r="V50" s="214"/>
      <c r="W50" s="218"/>
      <c r="X50" s="214"/>
      <c r="Y50" s="218"/>
      <c r="Z50" s="214"/>
      <c r="AA50" s="218"/>
      <c r="AB50" s="214"/>
      <c r="AC50" s="218"/>
      <c r="AD50" s="214"/>
      <c r="AE50" s="218"/>
      <c r="AF50" s="214"/>
      <c r="AG50" s="218"/>
      <c r="AH50" s="214">
        <f t="shared" si="17"/>
        <v>0</v>
      </c>
      <c r="AI50" s="218">
        <f t="shared" si="18"/>
        <v>0</v>
      </c>
      <c r="AJ50" s="220"/>
      <c r="AK50" s="220"/>
      <c r="AL50" s="220"/>
      <c r="AM50" s="220"/>
      <c r="AN50" s="220"/>
      <c r="AO50" s="220"/>
      <c r="AP50" s="220"/>
    </row>
    <row r="51" spans="1:42" ht="15.75" customHeight="1">
      <c r="A51" s="189"/>
      <c r="B51" s="190"/>
      <c r="C51" s="236" t="s">
        <v>540</v>
      </c>
      <c r="D51" s="214"/>
      <c r="E51" s="218"/>
      <c r="F51" s="214"/>
      <c r="G51" s="218"/>
      <c r="H51" s="212">
        <f t="shared" si="11"/>
        <v>11160</v>
      </c>
      <c r="I51" s="219">
        <f t="shared" si="12"/>
        <v>1</v>
      </c>
      <c r="J51" s="212">
        <f t="shared" si="13"/>
        <v>17473.533928767123</v>
      </c>
      <c r="K51" s="219">
        <f t="shared" si="14"/>
        <v>1</v>
      </c>
      <c r="L51" s="212">
        <f t="shared" si="15"/>
        <v>18055.985059726027</v>
      </c>
      <c r="M51" s="219">
        <f t="shared" si="16"/>
        <v>1</v>
      </c>
      <c r="N51" s="214"/>
      <c r="O51" s="218"/>
      <c r="P51" s="214"/>
      <c r="Q51" s="218"/>
      <c r="R51" s="214"/>
      <c r="S51" s="218"/>
      <c r="T51" s="214"/>
      <c r="U51" s="218"/>
      <c r="V51" s="214"/>
      <c r="W51" s="218"/>
      <c r="X51" s="214"/>
      <c r="Y51" s="218"/>
      <c r="Z51" s="214"/>
      <c r="AA51" s="218"/>
      <c r="AB51" s="214"/>
      <c r="AC51" s="218"/>
      <c r="AD51" s="214"/>
      <c r="AE51" s="218"/>
      <c r="AF51" s="214"/>
      <c r="AG51" s="218"/>
      <c r="AH51" s="214">
        <f t="shared" si="17"/>
        <v>35529.518988493146</v>
      </c>
      <c r="AI51" s="218">
        <f t="shared" si="18"/>
        <v>0.99994371194767528</v>
      </c>
      <c r="AJ51" s="220"/>
      <c r="AK51" s="220"/>
      <c r="AL51" s="220"/>
      <c r="AM51" s="220"/>
      <c r="AN51" s="220"/>
      <c r="AO51" s="220"/>
      <c r="AP51" s="220"/>
    </row>
    <row r="52" spans="1:42" ht="15.75" customHeight="1">
      <c r="A52" s="200" t="s">
        <v>125</v>
      </c>
      <c r="B52" s="201"/>
      <c r="C52" s="248"/>
      <c r="D52" s="244"/>
      <c r="E52" s="245"/>
      <c r="F52" s="244"/>
      <c r="G52" s="245"/>
      <c r="H52" s="246">
        <f>SUM(H43:H51)</f>
        <v>226685.04479999997</v>
      </c>
      <c r="I52" s="247">
        <f>H52/H28</f>
        <v>0.78124153846153832</v>
      </c>
      <c r="J52" s="246">
        <f>SUM(J43:J51)</f>
        <v>341001.69351841725</v>
      </c>
      <c r="K52" s="247">
        <f>J52/J28</f>
        <v>0.780613</v>
      </c>
      <c r="L52" s="246">
        <f>SUM(L43:L51)</f>
        <v>352497.51692887489</v>
      </c>
      <c r="M52" s="247">
        <f>L52/L28</f>
        <v>0.78089900000000012</v>
      </c>
      <c r="N52" s="244"/>
      <c r="O52" s="245"/>
      <c r="P52" s="244"/>
      <c r="Q52" s="245"/>
      <c r="R52" s="244"/>
      <c r="S52" s="245"/>
      <c r="T52" s="244"/>
      <c r="U52" s="245"/>
      <c r="V52" s="244"/>
      <c r="W52" s="245"/>
      <c r="X52" s="244"/>
      <c r="Y52" s="245"/>
      <c r="Z52" s="244"/>
      <c r="AA52" s="245"/>
      <c r="AB52" s="244"/>
      <c r="AC52" s="245"/>
      <c r="AD52" s="244"/>
      <c r="AE52" s="245"/>
      <c r="AF52" s="244"/>
      <c r="AG52" s="245"/>
      <c r="AH52" s="244">
        <f>SUM(AH43:AH51)</f>
        <v>693499.21044729208</v>
      </c>
      <c r="AI52" s="245">
        <f>AH52/AH28</f>
        <v>0.78075834426229507</v>
      </c>
      <c r="AJ52" s="243"/>
      <c r="AK52" s="243"/>
      <c r="AL52" s="243"/>
      <c r="AM52" s="243"/>
      <c r="AN52" s="243"/>
      <c r="AO52" s="243"/>
      <c r="AP52" s="243"/>
    </row>
    <row r="53" spans="1:42" ht="15.75" customHeight="1">
      <c r="A53" s="249">
        <f>8557</f>
        <v>8557</v>
      </c>
      <c r="B53" s="304" t="s">
        <v>728</v>
      </c>
      <c r="C53" s="217" t="s">
        <v>792</v>
      </c>
      <c r="D53" s="250"/>
      <c r="E53" s="218"/>
      <c r="F53" s="250"/>
      <c r="G53" s="218"/>
      <c r="H53" s="251">
        <f>'[1]phase 1 sal schedule'!$B$20*H2</f>
        <v>28621.9178072</v>
      </c>
      <c r="I53" s="219">
        <f>H53/H$28</f>
        <v>9.8641845213675208E-2</v>
      </c>
      <c r="J53" s="251">
        <f>'[1]phase 1 sal schedule'!$B$20*J2</f>
        <v>27698.630136</v>
      </c>
      <c r="K53" s="219">
        <f>J53/J$28</f>
        <v>6.3407048050878906E-2</v>
      </c>
      <c r="L53" s="251">
        <f>'[1]phase 1 sal schedule'!$B$20*L2</f>
        <v>28621.9178072</v>
      </c>
      <c r="M53" s="219">
        <f>L53/L$28</f>
        <v>6.340704805087892E-2</v>
      </c>
      <c r="N53" s="250"/>
      <c r="O53" s="218"/>
      <c r="P53" s="250"/>
      <c r="Q53" s="218"/>
      <c r="R53" s="250"/>
      <c r="S53" s="218"/>
      <c r="T53" s="250"/>
      <c r="U53" s="218"/>
      <c r="V53" s="250"/>
      <c r="W53" s="218"/>
      <c r="X53" s="250"/>
      <c r="Y53" s="218"/>
      <c r="Z53" s="250"/>
      <c r="AA53" s="218"/>
      <c r="AB53" s="250"/>
      <c r="AC53" s="218"/>
      <c r="AD53" s="250"/>
      <c r="AE53" s="218"/>
      <c r="AF53" s="250"/>
      <c r="AG53" s="218"/>
      <c r="AH53" s="214">
        <f t="shared" ref="AH53:AH62" si="19">SUM(J53,L53,N53,P53,R53,T53,V53,X53,Z53,AB53,AD53,AF53)</f>
        <v>56320.547943199999</v>
      </c>
      <c r="AI53" s="218">
        <f>AH53/AH$28</f>
        <v>6.340704805087892E-2</v>
      </c>
      <c r="AJ53" s="220"/>
      <c r="AK53" s="220"/>
      <c r="AL53" s="220"/>
      <c r="AM53" s="220"/>
      <c r="AN53" s="220"/>
      <c r="AO53" s="220"/>
      <c r="AP53" s="220"/>
    </row>
    <row r="54" spans="1:42" ht="15.75" customHeight="1">
      <c r="A54" s="249">
        <f>655000/52</f>
        <v>12596.153846153846</v>
      </c>
      <c r="B54" s="304" t="s">
        <v>729</v>
      </c>
      <c r="C54" s="217" t="s">
        <v>323</v>
      </c>
      <c r="D54" s="214"/>
      <c r="E54" s="218"/>
      <c r="F54" s="214"/>
      <c r="G54" s="218"/>
      <c r="H54" s="212">
        <f>I54*H28</f>
        <v>33368.400000000001</v>
      </c>
      <c r="I54" s="219">
        <v>0.115</v>
      </c>
      <c r="J54" s="212">
        <f>K54*J28</f>
        <v>50236.410045205484</v>
      </c>
      <c r="K54" s="219">
        <v>0.115</v>
      </c>
      <c r="L54" s="212">
        <f>M54*L28</f>
        <v>51910.957046712327</v>
      </c>
      <c r="M54" s="219">
        <v>0.115</v>
      </c>
      <c r="N54" s="214"/>
      <c r="O54" s="218"/>
      <c r="P54" s="214"/>
      <c r="Q54" s="218"/>
      <c r="R54" s="214"/>
      <c r="S54" s="218"/>
      <c r="T54" s="214"/>
      <c r="U54" s="218"/>
      <c r="V54" s="214"/>
      <c r="W54" s="218"/>
      <c r="X54" s="214"/>
      <c r="Y54" s="218"/>
      <c r="Z54" s="214"/>
      <c r="AA54" s="218"/>
      <c r="AB54" s="214"/>
      <c r="AC54" s="218"/>
      <c r="AD54" s="214"/>
      <c r="AE54" s="218"/>
      <c r="AF54" s="214"/>
      <c r="AG54" s="218"/>
      <c r="AH54" s="214">
        <f t="shared" si="19"/>
        <v>102147.36709191781</v>
      </c>
      <c r="AI54" s="218">
        <f>AH54/AH28</f>
        <v>0.115</v>
      </c>
      <c r="AJ54" s="220"/>
      <c r="AK54" s="220"/>
      <c r="AL54" s="220"/>
      <c r="AM54" s="220"/>
      <c r="AN54" s="220"/>
      <c r="AO54" s="220"/>
      <c r="AP54" s="220"/>
    </row>
    <row r="55" spans="1:42" ht="15.75" customHeight="1">
      <c r="A55" s="249">
        <v>1191</v>
      </c>
      <c r="B55" s="304" t="s">
        <v>730</v>
      </c>
      <c r="C55" s="217" t="s">
        <v>793</v>
      </c>
      <c r="D55" s="250"/>
      <c r="E55" s="218"/>
      <c r="F55" s="250"/>
      <c r="G55" s="218"/>
      <c r="H55" s="251">
        <v>21769</v>
      </c>
      <c r="I55" s="219">
        <f>H55/H$28</f>
        <v>7.5024124620898816E-2</v>
      </c>
      <c r="J55" s="251">
        <f>'[1]phase 1 sal schedule'!$B$11*J2</f>
        <v>23196.721311000001</v>
      </c>
      <c r="K55" s="219">
        <f>J55/J$28</f>
        <v>5.3101384998739488E-2</v>
      </c>
      <c r="L55" s="251">
        <f>'[1]phase 1 sal schedule'!$B$11*L2</f>
        <v>23969.945354700001</v>
      </c>
      <c r="M55" s="219">
        <f>L55/L$28</f>
        <v>5.3101384998739495E-2</v>
      </c>
      <c r="N55" s="250"/>
      <c r="O55" s="218"/>
      <c r="P55" s="250"/>
      <c r="Q55" s="218"/>
      <c r="R55" s="250"/>
      <c r="S55" s="218"/>
      <c r="T55" s="250"/>
      <c r="U55" s="218"/>
      <c r="V55" s="250"/>
      <c r="W55" s="218"/>
      <c r="X55" s="250"/>
      <c r="Y55" s="218"/>
      <c r="Z55" s="250"/>
      <c r="AA55" s="218"/>
      <c r="AB55" s="250"/>
      <c r="AC55" s="218"/>
      <c r="AD55" s="250"/>
      <c r="AE55" s="218"/>
      <c r="AF55" s="250"/>
      <c r="AG55" s="218"/>
      <c r="AH55" s="214">
        <f t="shared" si="19"/>
        <v>47166.666665700002</v>
      </c>
      <c r="AI55" s="218">
        <f t="shared" ref="AI55:AI62" si="20">AH55/AH$28</f>
        <v>5.3101384998739495E-2</v>
      </c>
      <c r="AJ55" s="220"/>
      <c r="AK55" s="220"/>
      <c r="AL55" s="220"/>
      <c r="AM55" s="220"/>
      <c r="AN55" s="220"/>
      <c r="AO55" s="220"/>
      <c r="AP55" s="220"/>
    </row>
    <row r="56" spans="1:42" ht="15.75" customHeight="1">
      <c r="A56" s="249"/>
      <c r="B56" s="304" t="s">
        <v>731</v>
      </c>
      <c r="C56" s="217" t="s">
        <v>327</v>
      </c>
      <c r="D56" s="214"/>
      <c r="E56" s="218"/>
      <c r="F56" s="214"/>
      <c r="G56" s="218"/>
      <c r="H56" s="212">
        <f>I56*H28</f>
        <v>43524</v>
      </c>
      <c r="I56" s="219">
        <v>0.15</v>
      </c>
      <c r="J56" s="212">
        <f>K56*J28</f>
        <v>65525.752232876708</v>
      </c>
      <c r="K56" s="219">
        <v>0.15</v>
      </c>
      <c r="L56" s="212">
        <f>M56*L28</f>
        <v>67709.943973972593</v>
      </c>
      <c r="M56" s="219">
        <v>0.15</v>
      </c>
      <c r="N56" s="214"/>
      <c r="O56" s="218"/>
      <c r="P56" s="214"/>
      <c r="Q56" s="218"/>
      <c r="R56" s="214"/>
      <c r="S56" s="218"/>
      <c r="T56" s="214"/>
      <c r="U56" s="218"/>
      <c r="V56" s="214"/>
      <c r="W56" s="218"/>
      <c r="X56" s="214"/>
      <c r="Y56" s="218"/>
      <c r="Z56" s="214"/>
      <c r="AA56" s="218"/>
      <c r="AB56" s="214"/>
      <c r="AC56" s="218"/>
      <c r="AD56" s="214"/>
      <c r="AE56" s="218"/>
      <c r="AF56" s="214"/>
      <c r="AG56" s="218"/>
      <c r="AH56" s="214">
        <f t="shared" si="19"/>
        <v>133235.6962068493</v>
      </c>
      <c r="AI56" s="218">
        <f t="shared" si="20"/>
        <v>0.15</v>
      </c>
      <c r="AJ56" s="220"/>
      <c r="AK56" s="220"/>
      <c r="AL56" s="220"/>
      <c r="AM56" s="220"/>
      <c r="AN56" s="220"/>
      <c r="AO56" s="220"/>
      <c r="AP56" s="220"/>
    </row>
    <row r="57" spans="1:42" ht="15.75" customHeight="1">
      <c r="A57" s="249"/>
      <c r="B57" s="304" t="s">
        <v>732</v>
      </c>
      <c r="C57" s="217" t="s">
        <v>437</v>
      </c>
      <c r="D57" s="214"/>
      <c r="E57" s="221"/>
      <c r="F57" s="214"/>
      <c r="G57" s="221"/>
      <c r="H57" s="212">
        <f>I57*H28</f>
        <v>725.4</v>
      </c>
      <c r="I57" s="222">
        <v>2.5000000000000001E-3</v>
      </c>
      <c r="J57" s="212">
        <f>K57*J28</f>
        <v>1092.0958705479452</v>
      </c>
      <c r="K57" s="222">
        <v>2.5000000000000001E-3</v>
      </c>
      <c r="L57" s="212">
        <f>M57*L28</f>
        <v>1128.4990662328767</v>
      </c>
      <c r="M57" s="222">
        <v>2.5000000000000001E-3</v>
      </c>
      <c r="N57" s="214"/>
      <c r="O57" s="221"/>
      <c r="P57" s="214"/>
      <c r="Q57" s="221"/>
      <c r="R57" s="214"/>
      <c r="S57" s="221"/>
      <c r="T57" s="214"/>
      <c r="U57" s="221"/>
      <c r="V57" s="214"/>
      <c r="W57" s="221"/>
      <c r="X57" s="214"/>
      <c r="Y57" s="221"/>
      <c r="Z57" s="214"/>
      <c r="AA57" s="221"/>
      <c r="AB57" s="214"/>
      <c r="AC57" s="221"/>
      <c r="AD57" s="214"/>
      <c r="AE57" s="221"/>
      <c r="AF57" s="214"/>
      <c r="AG57" s="221"/>
      <c r="AH57" s="214">
        <f t="shared" si="19"/>
        <v>2220.5949367808216</v>
      </c>
      <c r="AI57" s="218">
        <f t="shared" si="20"/>
        <v>2.4999999999999996E-3</v>
      </c>
      <c r="AJ57" s="220"/>
      <c r="AK57" s="220"/>
      <c r="AL57" s="220"/>
      <c r="AM57" s="220"/>
      <c r="AN57" s="220"/>
      <c r="AO57" s="220"/>
      <c r="AP57" s="220"/>
    </row>
    <row r="58" spans="1:42" ht="15.75" customHeight="1">
      <c r="A58" s="252"/>
      <c r="B58" s="304" t="s">
        <v>543</v>
      </c>
      <c r="C58" s="217" t="s">
        <v>331</v>
      </c>
      <c r="D58" s="214"/>
      <c r="E58" s="218"/>
      <c r="F58" s="214"/>
      <c r="G58" s="218"/>
      <c r="H58" s="212">
        <f>H26</f>
        <v>0</v>
      </c>
      <c r="I58" s="219">
        <f>H58/H$28</f>
        <v>0</v>
      </c>
      <c r="J58" s="212">
        <f>J26</f>
        <v>0</v>
      </c>
      <c r="K58" s="219">
        <f>J58/J$28</f>
        <v>0</v>
      </c>
      <c r="L58" s="212">
        <f>L26</f>
        <v>0</v>
      </c>
      <c r="M58" s="219">
        <f>L58/L$28</f>
        <v>0</v>
      </c>
      <c r="N58" s="214"/>
      <c r="O58" s="218"/>
      <c r="P58" s="214"/>
      <c r="Q58" s="218"/>
      <c r="R58" s="214"/>
      <c r="S58" s="218"/>
      <c r="T58" s="214"/>
      <c r="U58" s="218"/>
      <c r="V58" s="214"/>
      <c r="W58" s="218"/>
      <c r="X58" s="214"/>
      <c r="Y58" s="218"/>
      <c r="Z58" s="214"/>
      <c r="AA58" s="218"/>
      <c r="AB58" s="214"/>
      <c r="AC58" s="218"/>
      <c r="AD58" s="214"/>
      <c r="AE58" s="218"/>
      <c r="AF58" s="214"/>
      <c r="AG58" s="218"/>
      <c r="AH58" s="214">
        <f t="shared" si="19"/>
        <v>0</v>
      </c>
      <c r="AI58" s="218">
        <f t="shared" si="20"/>
        <v>0</v>
      </c>
      <c r="AJ58" s="220"/>
      <c r="AK58" s="220"/>
      <c r="AL58" s="220"/>
      <c r="AM58" s="220"/>
      <c r="AN58" s="220"/>
      <c r="AO58" s="220"/>
      <c r="AP58" s="220"/>
    </row>
    <row r="59" spans="1:42" ht="15.75" customHeight="1">
      <c r="A59" s="249">
        <v>600</v>
      </c>
      <c r="B59" s="304" t="s">
        <v>733</v>
      </c>
      <c r="C59" s="217" t="s">
        <v>324</v>
      </c>
      <c r="D59" s="214"/>
      <c r="E59" s="218"/>
      <c r="F59" s="214"/>
      <c r="G59" s="218"/>
      <c r="H59" s="212">
        <v>1000</v>
      </c>
      <c r="I59" s="219">
        <f>H59/H$28</f>
        <v>3.4463744141163496E-3</v>
      </c>
      <c r="J59" s="212">
        <f>$A$59*J15</f>
        <v>2400</v>
      </c>
      <c r="K59" s="219">
        <f>J59/J$28</f>
        <v>5.4940231547524997E-3</v>
      </c>
      <c r="L59" s="212">
        <f>$A$59*L15</f>
        <v>2400</v>
      </c>
      <c r="M59" s="219">
        <f>L59/L$28</f>
        <v>5.3167966013733872E-3</v>
      </c>
      <c r="N59" s="214"/>
      <c r="O59" s="218"/>
      <c r="P59" s="214"/>
      <c r="Q59" s="218"/>
      <c r="R59" s="214"/>
      <c r="S59" s="218"/>
      <c r="T59" s="214"/>
      <c r="U59" s="218"/>
      <c r="V59" s="214"/>
      <c r="W59" s="218"/>
      <c r="X59" s="214"/>
      <c r="Y59" s="218"/>
      <c r="Z59" s="214"/>
      <c r="AA59" s="218"/>
      <c r="AB59" s="214"/>
      <c r="AC59" s="218"/>
      <c r="AD59" s="214"/>
      <c r="AE59" s="218"/>
      <c r="AF59" s="214"/>
      <c r="AG59" s="218"/>
      <c r="AH59" s="214">
        <f t="shared" si="19"/>
        <v>4800</v>
      </c>
      <c r="AI59" s="218">
        <f t="shared" si="20"/>
        <v>5.4039572013959017E-3</v>
      </c>
      <c r="AJ59" s="220"/>
      <c r="AK59" s="220"/>
      <c r="AL59" s="220"/>
      <c r="AM59" s="220"/>
      <c r="AN59" s="220"/>
      <c r="AO59" s="220"/>
      <c r="AP59" s="220"/>
    </row>
    <row r="60" spans="1:42" ht="15.75" customHeight="1">
      <c r="A60" s="249">
        <v>400</v>
      </c>
      <c r="B60" s="304" t="s">
        <v>734</v>
      </c>
      <c r="C60" s="217" t="s">
        <v>326</v>
      </c>
      <c r="D60" s="214"/>
      <c r="E60" s="218"/>
      <c r="F60" s="214"/>
      <c r="G60" s="218"/>
      <c r="H60" s="212">
        <v>2000</v>
      </c>
      <c r="I60" s="219">
        <f>H60/H$28</f>
        <v>6.8927488282326992E-3</v>
      </c>
      <c r="J60" s="212">
        <f>$A$60*J15</f>
        <v>1600</v>
      </c>
      <c r="K60" s="219">
        <f>J60/J$28</f>
        <v>3.6626821031683333E-3</v>
      </c>
      <c r="L60" s="212">
        <f>$A$60*L15</f>
        <v>1600</v>
      </c>
      <c r="M60" s="219">
        <f>L60/L$28</f>
        <v>3.5445310675822584E-3</v>
      </c>
      <c r="N60" s="214"/>
      <c r="O60" s="218"/>
      <c r="P60" s="214"/>
      <c r="Q60" s="218"/>
      <c r="R60" s="214"/>
      <c r="S60" s="218"/>
      <c r="T60" s="214"/>
      <c r="U60" s="218"/>
      <c r="V60" s="214"/>
      <c r="W60" s="218"/>
      <c r="X60" s="214"/>
      <c r="Y60" s="218"/>
      <c r="Z60" s="214"/>
      <c r="AA60" s="218"/>
      <c r="AB60" s="214"/>
      <c r="AC60" s="218"/>
      <c r="AD60" s="214"/>
      <c r="AE60" s="218"/>
      <c r="AF60" s="214"/>
      <c r="AG60" s="218"/>
      <c r="AH60" s="214">
        <f t="shared" si="19"/>
        <v>3200</v>
      </c>
      <c r="AI60" s="218">
        <f t="shared" si="20"/>
        <v>3.6026381342639346E-3</v>
      </c>
      <c r="AJ60" s="220"/>
      <c r="AK60" s="220"/>
      <c r="AL60" s="220"/>
      <c r="AM60" s="220"/>
      <c r="AN60" s="220"/>
      <c r="AO60" s="220"/>
      <c r="AP60" s="220"/>
    </row>
    <row r="61" spans="1:42" ht="15.75" customHeight="1">
      <c r="A61" s="249">
        <f>300</f>
        <v>300</v>
      </c>
      <c r="B61" s="304" t="s">
        <v>544</v>
      </c>
      <c r="C61" s="217" t="s">
        <v>545</v>
      </c>
      <c r="D61" s="214"/>
      <c r="E61" s="218"/>
      <c r="F61" s="214"/>
      <c r="G61" s="218"/>
      <c r="H61" s="212">
        <v>1500</v>
      </c>
      <c r="I61" s="219">
        <f>H61/H$28</f>
        <v>5.1695616211745246E-3</v>
      </c>
      <c r="J61" s="212">
        <v>1200</v>
      </c>
      <c r="K61" s="219">
        <f>J61/J$28</f>
        <v>2.7470115773762498E-3</v>
      </c>
      <c r="L61" s="212">
        <v>1200</v>
      </c>
      <c r="M61" s="219">
        <f>L61/L$28</f>
        <v>2.6583983006866936E-3</v>
      </c>
      <c r="N61" s="214"/>
      <c r="O61" s="218"/>
      <c r="P61" s="214"/>
      <c r="Q61" s="218"/>
      <c r="R61" s="214"/>
      <c r="S61" s="218"/>
      <c r="T61" s="214"/>
      <c r="U61" s="218"/>
      <c r="V61" s="214"/>
      <c r="W61" s="218"/>
      <c r="X61" s="214"/>
      <c r="Y61" s="218"/>
      <c r="Z61" s="214"/>
      <c r="AA61" s="218"/>
      <c r="AB61" s="214"/>
      <c r="AC61" s="218"/>
      <c r="AD61" s="214"/>
      <c r="AE61" s="218"/>
      <c r="AF61" s="214"/>
      <c r="AG61" s="218"/>
      <c r="AH61" s="214">
        <f t="shared" si="19"/>
        <v>2400</v>
      </c>
      <c r="AI61" s="218">
        <f t="shared" si="20"/>
        <v>2.7019786006979509E-3</v>
      </c>
      <c r="AJ61" s="220"/>
      <c r="AK61" s="220"/>
      <c r="AL61" s="220"/>
      <c r="AM61" s="220"/>
      <c r="AN61" s="220"/>
      <c r="AO61" s="220"/>
      <c r="AP61" s="220"/>
    </row>
    <row r="62" spans="1:42" ht="15.75" customHeight="1">
      <c r="A62" s="249"/>
      <c r="B62" s="190" t="s">
        <v>735</v>
      </c>
      <c r="C62" s="217" t="s">
        <v>546</v>
      </c>
      <c r="D62" s="214"/>
      <c r="E62" s="218"/>
      <c r="F62" s="214"/>
      <c r="G62" s="218"/>
      <c r="H62" s="212">
        <v>0</v>
      </c>
      <c r="I62" s="219">
        <f>H62/H$28</f>
        <v>0</v>
      </c>
      <c r="J62" s="212">
        <v>0</v>
      </c>
      <c r="K62" s="219">
        <f>J62/J$28</f>
        <v>0</v>
      </c>
      <c r="L62" s="212">
        <v>0</v>
      </c>
      <c r="M62" s="219">
        <f>L62/L$28</f>
        <v>0</v>
      </c>
      <c r="N62" s="214"/>
      <c r="O62" s="218"/>
      <c r="P62" s="214"/>
      <c r="Q62" s="218"/>
      <c r="R62" s="214"/>
      <c r="S62" s="218"/>
      <c r="T62" s="214"/>
      <c r="U62" s="218"/>
      <c r="V62" s="214"/>
      <c r="W62" s="218"/>
      <c r="X62" s="214"/>
      <c r="Y62" s="218"/>
      <c r="Z62" s="214"/>
      <c r="AA62" s="218"/>
      <c r="AB62" s="214"/>
      <c r="AC62" s="218"/>
      <c r="AD62" s="214"/>
      <c r="AE62" s="218"/>
      <c r="AF62" s="214"/>
      <c r="AG62" s="218"/>
      <c r="AH62" s="214">
        <f t="shared" si="19"/>
        <v>0</v>
      </c>
      <c r="AI62" s="218">
        <f t="shared" si="20"/>
        <v>0</v>
      </c>
      <c r="AJ62" s="220"/>
      <c r="AK62" s="220"/>
      <c r="AL62" s="220"/>
      <c r="AM62" s="220"/>
      <c r="AN62" s="220"/>
      <c r="AO62" s="220"/>
      <c r="AP62" s="220"/>
    </row>
    <row r="63" spans="1:42" ht="15.75" customHeight="1">
      <c r="A63" s="200" t="s">
        <v>129</v>
      </c>
      <c r="B63" s="201"/>
      <c r="C63" s="248"/>
      <c r="D63" s="253"/>
      <c r="E63" s="245"/>
      <c r="F63" s="253"/>
      <c r="G63" s="245"/>
      <c r="H63" s="254">
        <f t="shared" ref="H63:M63" si="21">SUM(H53:H62)</f>
        <v>132508.71780719998</v>
      </c>
      <c r="I63" s="255">
        <f t="shared" si="21"/>
        <v>0.45667465469809765</v>
      </c>
      <c r="J63" s="254">
        <f t="shared" si="21"/>
        <v>172949.60959563017</v>
      </c>
      <c r="K63" s="247">
        <f t="shared" si="21"/>
        <v>0.39591214988491547</v>
      </c>
      <c r="L63" s="254">
        <f t="shared" si="21"/>
        <v>178541.26324881782</v>
      </c>
      <c r="M63" s="255">
        <f t="shared" si="21"/>
        <v>0.39552815901926081</v>
      </c>
      <c r="N63" s="253"/>
      <c r="O63" s="256"/>
      <c r="P63" s="253"/>
      <c r="Q63" s="256"/>
      <c r="R63" s="253"/>
      <c r="S63" s="256"/>
      <c r="T63" s="253"/>
      <c r="U63" s="256"/>
      <c r="V63" s="253"/>
      <c r="W63" s="256"/>
      <c r="X63" s="253"/>
      <c r="Y63" s="256"/>
      <c r="Z63" s="253"/>
      <c r="AA63" s="256"/>
      <c r="AB63" s="253"/>
      <c r="AC63" s="256"/>
      <c r="AD63" s="253"/>
      <c r="AE63" s="256"/>
      <c r="AF63" s="253"/>
      <c r="AG63" s="256"/>
      <c r="AH63" s="253">
        <f>SUM(AH53:AH62)</f>
        <v>351490.87284444791</v>
      </c>
      <c r="AI63" s="256">
        <f>SUM(AI53:AI62)</f>
        <v>0.39571700698597623</v>
      </c>
      <c r="AJ63" s="242"/>
      <c r="AK63" s="242"/>
      <c r="AL63" s="242"/>
      <c r="AM63" s="242"/>
      <c r="AN63" s="242"/>
      <c r="AO63" s="242"/>
      <c r="AP63" s="243"/>
    </row>
    <row r="64" spans="1:42" ht="15.75" customHeight="1">
      <c r="A64" s="257"/>
      <c r="B64" s="304" t="s">
        <v>547</v>
      </c>
      <c r="C64" s="217" t="s">
        <v>127</v>
      </c>
      <c r="D64" s="214"/>
      <c r="E64" s="218"/>
      <c r="F64" s="214"/>
      <c r="G64" s="218"/>
      <c r="H64" s="212">
        <f>I64*H28</f>
        <v>15088.32</v>
      </c>
      <c r="I64" s="219">
        <v>5.1999999999999998E-2</v>
      </c>
      <c r="J64" s="212">
        <f>K64*J28</f>
        <v>19657.725669863012</v>
      </c>
      <c r="K64" s="219">
        <v>4.4999999999999998E-2</v>
      </c>
      <c r="L64" s="212">
        <f>M64*L28</f>
        <v>20312.983192191779</v>
      </c>
      <c r="M64" s="219">
        <v>4.4999999999999998E-2</v>
      </c>
      <c r="N64" s="214"/>
      <c r="O64" s="218"/>
      <c r="P64" s="214"/>
      <c r="Q64" s="218"/>
      <c r="R64" s="214"/>
      <c r="S64" s="218"/>
      <c r="T64" s="214"/>
      <c r="U64" s="218"/>
      <c r="V64" s="214"/>
      <c r="W64" s="218"/>
      <c r="X64" s="214"/>
      <c r="Y64" s="218"/>
      <c r="Z64" s="214"/>
      <c r="AA64" s="218"/>
      <c r="AB64" s="214"/>
      <c r="AC64" s="218"/>
      <c r="AD64" s="214"/>
      <c r="AE64" s="218"/>
      <c r="AF64" s="214"/>
      <c r="AG64" s="218"/>
      <c r="AH64" s="214">
        <f t="shared" ref="AH64:AH69" si="22">SUM(J64,L64,N64,P64,R64,T64,V64,X64,Z64,AB64,AD64,AF64)</f>
        <v>39970.708862054787</v>
      </c>
      <c r="AI64" s="218">
        <f>AH64/AH$28</f>
        <v>4.4999999999999991E-2</v>
      </c>
      <c r="AJ64" s="220"/>
      <c r="AK64" s="220"/>
      <c r="AL64" s="220"/>
      <c r="AM64" s="220"/>
      <c r="AN64" s="220"/>
      <c r="AO64" s="220"/>
      <c r="AP64" s="220"/>
    </row>
    <row r="65" spans="1:42" ht="15.75" customHeight="1">
      <c r="A65" s="189"/>
      <c r="B65" s="304" t="s">
        <v>736</v>
      </c>
      <c r="C65" s="217" t="s">
        <v>131</v>
      </c>
      <c r="D65" s="214"/>
      <c r="E65" s="218"/>
      <c r="F65" s="214"/>
      <c r="G65" s="218"/>
      <c r="H65" s="212">
        <f>SUM(H53:H61)*0.0575</f>
        <v>7619.2512739139993</v>
      </c>
      <c r="I65" s="219">
        <f>H65/H28</f>
        <v>2.6258792645140611E-2</v>
      </c>
      <c r="J65" s="212">
        <f>SUM(J53:J61)*0.0575</f>
        <v>9944.602551748736</v>
      </c>
      <c r="K65" s="219">
        <f>J65/J28</f>
        <v>2.2764948618382647E-2</v>
      </c>
      <c r="L65" s="212">
        <f>SUM(L53:L61)*0.0575</f>
        <v>10266.122636807026</v>
      </c>
      <c r="M65" s="219">
        <f>L65/L28</f>
        <v>2.2742869143607496E-2</v>
      </c>
      <c r="N65" s="214"/>
      <c r="O65" s="218"/>
      <c r="P65" s="214"/>
      <c r="Q65" s="218"/>
      <c r="R65" s="214"/>
      <c r="S65" s="218"/>
      <c r="T65" s="214"/>
      <c r="U65" s="218"/>
      <c r="V65" s="214"/>
      <c r="W65" s="218"/>
      <c r="X65" s="214"/>
      <c r="Y65" s="218"/>
      <c r="Z65" s="214"/>
      <c r="AA65" s="218"/>
      <c r="AB65" s="214"/>
      <c r="AC65" s="218"/>
      <c r="AD65" s="214"/>
      <c r="AE65" s="218"/>
      <c r="AF65" s="214"/>
      <c r="AG65" s="218"/>
      <c r="AH65" s="214">
        <f t="shared" si="22"/>
        <v>20210.725188555763</v>
      </c>
      <c r="AI65" s="218">
        <f>W65</f>
        <v>0</v>
      </c>
      <c r="AJ65" s="220"/>
      <c r="AK65" s="220"/>
      <c r="AL65" s="220"/>
      <c r="AM65" s="220"/>
      <c r="AN65" s="220"/>
      <c r="AO65" s="220"/>
      <c r="AP65" s="220"/>
    </row>
    <row r="66" spans="1:42" ht="15.75" customHeight="1">
      <c r="A66" s="189"/>
      <c r="B66" s="304" t="s">
        <v>737</v>
      </c>
      <c r="C66" s="217" t="s">
        <v>332</v>
      </c>
      <c r="D66" s="214"/>
      <c r="E66" s="218"/>
      <c r="F66" s="214"/>
      <c r="G66" s="218"/>
      <c r="H66" s="212">
        <v>8500</v>
      </c>
      <c r="I66" s="219">
        <v>1.2999999999999999E-2</v>
      </c>
      <c r="J66" s="212">
        <f>K66*J28</f>
        <v>6552.5752232876712</v>
      </c>
      <c r="K66" s="219">
        <v>1.4999999999999999E-2</v>
      </c>
      <c r="L66" s="212">
        <f>M66*L28</f>
        <v>6770.9943973972595</v>
      </c>
      <c r="M66" s="219">
        <v>1.4999999999999999E-2</v>
      </c>
      <c r="N66" s="214"/>
      <c r="O66" s="218"/>
      <c r="P66" s="214"/>
      <c r="Q66" s="218"/>
      <c r="R66" s="214"/>
      <c r="S66" s="218"/>
      <c r="T66" s="214"/>
      <c r="U66" s="218"/>
      <c r="V66" s="214"/>
      <c r="W66" s="218"/>
      <c r="X66" s="214"/>
      <c r="Y66" s="218"/>
      <c r="Z66" s="214"/>
      <c r="AA66" s="218"/>
      <c r="AB66" s="214"/>
      <c r="AC66" s="218"/>
      <c r="AD66" s="214"/>
      <c r="AE66" s="218"/>
      <c r="AF66" s="214"/>
      <c r="AG66" s="218"/>
      <c r="AH66" s="214">
        <f t="shared" si="22"/>
        <v>13323.569620684932</v>
      </c>
      <c r="AI66" s="218">
        <f>AH66/AH$28</f>
        <v>1.5000000000000001E-2</v>
      </c>
      <c r="AJ66" s="220"/>
      <c r="AK66" s="220"/>
      <c r="AL66" s="220"/>
      <c r="AM66" s="220"/>
      <c r="AN66" s="220"/>
      <c r="AO66" s="220"/>
      <c r="AP66" s="220"/>
    </row>
    <row r="67" spans="1:42" ht="15.75" customHeight="1">
      <c r="A67" s="189"/>
      <c r="B67" s="304" t="s">
        <v>738</v>
      </c>
      <c r="C67" s="217" t="s">
        <v>132</v>
      </c>
      <c r="D67" s="214"/>
      <c r="E67" s="218"/>
      <c r="F67" s="214"/>
      <c r="G67" s="218"/>
      <c r="H67" s="212">
        <v>350</v>
      </c>
      <c r="I67" s="219">
        <f>H67/H$28</f>
        <v>1.2062310449407225E-3</v>
      </c>
      <c r="J67" s="212">
        <v>350</v>
      </c>
      <c r="K67" s="219">
        <f>J67/J$28</f>
        <v>8.0121171006807294E-4</v>
      </c>
      <c r="L67" s="212">
        <v>350</v>
      </c>
      <c r="M67" s="219">
        <f>L67/L$28</f>
        <v>7.7536617103361901E-4</v>
      </c>
      <c r="N67" s="214"/>
      <c r="O67" s="218"/>
      <c r="P67" s="214"/>
      <c r="Q67" s="218"/>
      <c r="R67" s="214"/>
      <c r="S67" s="218"/>
      <c r="T67" s="214"/>
      <c r="U67" s="218"/>
      <c r="V67" s="214"/>
      <c r="W67" s="218"/>
      <c r="X67" s="214"/>
      <c r="Y67" s="218"/>
      <c r="Z67" s="214"/>
      <c r="AA67" s="218"/>
      <c r="AB67" s="214"/>
      <c r="AC67" s="218"/>
      <c r="AD67" s="214"/>
      <c r="AE67" s="218"/>
      <c r="AF67" s="214"/>
      <c r="AG67" s="218"/>
      <c r="AH67" s="214">
        <f t="shared" si="22"/>
        <v>700</v>
      </c>
      <c r="AI67" s="218">
        <f>AH67/AH$28</f>
        <v>7.8807709187023569E-4</v>
      </c>
      <c r="AJ67" s="220"/>
      <c r="AK67" s="220"/>
      <c r="AL67" s="220"/>
      <c r="AM67" s="220"/>
      <c r="AN67" s="220"/>
      <c r="AO67" s="220"/>
      <c r="AP67" s="220"/>
    </row>
    <row r="68" spans="1:42" ht="15.75" customHeight="1">
      <c r="A68" s="189"/>
      <c r="B68" s="304" t="s">
        <v>739</v>
      </c>
      <c r="C68" s="217" t="s">
        <v>548</v>
      </c>
      <c r="D68" s="214"/>
      <c r="E68" s="218"/>
      <c r="F68" s="214"/>
      <c r="G68" s="218"/>
      <c r="H68" s="212">
        <v>0</v>
      </c>
      <c r="I68" s="219">
        <f>H68/H$28</f>
        <v>0</v>
      </c>
      <c r="J68" s="212"/>
      <c r="K68" s="219">
        <f>J68/J$28</f>
        <v>0</v>
      </c>
      <c r="L68" s="212"/>
      <c r="M68" s="219">
        <f>L68/L$28</f>
        <v>0</v>
      </c>
      <c r="N68" s="214"/>
      <c r="O68" s="218"/>
      <c r="P68" s="214"/>
      <c r="Q68" s="218"/>
      <c r="R68" s="214"/>
      <c r="S68" s="218"/>
      <c r="T68" s="214"/>
      <c r="U68" s="218"/>
      <c r="V68" s="214"/>
      <c r="W68" s="218"/>
      <c r="X68" s="214"/>
      <c r="Y68" s="218"/>
      <c r="Z68" s="214"/>
      <c r="AA68" s="218"/>
      <c r="AB68" s="214"/>
      <c r="AC68" s="218"/>
      <c r="AD68" s="214"/>
      <c r="AE68" s="218"/>
      <c r="AF68" s="214"/>
      <c r="AG68" s="218"/>
      <c r="AH68" s="214">
        <f t="shared" si="22"/>
        <v>0</v>
      </c>
      <c r="AI68" s="218">
        <f>AH68/AH$28</f>
        <v>0</v>
      </c>
      <c r="AJ68" s="220"/>
      <c r="AK68" s="220"/>
      <c r="AL68" s="220"/>
      <c r="AM68" s="220"/>
      <c r="AN68" s="220"/>
      <c r="AO68" s="220"/>
      <c r="AP68" s="220"/>
    </row>
    <row r="69" spans="1:42" ht="15.75" customHeight="1">
      <c r="A69" s="189"/>
      <c r="B69" s="304" t="s">
        <v>740</v>
      </c>
      <c r="C69" s="217" t="s">
        <v>133</v>
      </c>
      <c r="D69" s="214"/>
      <c r="E69" s="218"/>
      <c r="F69" s="214"/>
      <c r="G69" s="218"/>
      <c r="H69" s="212">
        <v>200</v>
      </c>
      <c r="I69" s="219">
        <f>H69/H$28</f>
        <v>6.8927488282326992E-4</v>
      </c>
      <c r="J69" s="212">
        <v>200</v>
      </c>
      <c r="K69" s="219">
        <f>J69/J$28</f>
        <v>4.5783526289604166E-4</v>
      </c>
      <c r="L69" s="212">
        <v>200</v>
      </c>
      <c r="M69" s="219">
        <f>L69/L$28</f>
        <v>4.430663834477823E-4</v>
      </c>
      <c r="N69" s="214"/>
      <c r="O69" s="218"/>
      <c r="P69" s="214"/>
      <c r="Q69" s="218"/>
      <c r="R69" s="214"/>
      <c r="S69" s="218"/>
      <c r="T69" s="214"/>
      <c r="U69" s="218"/>
      <c r="V69" s="214"/>
      <c r="W69" s="218"/>
      <c r="X69" s="214"/>
      <c r="Y69" s="218"/>
      <c r="Z69" s="214"/>
      <c r="AA69" s="218"/>
      <c r="AB69" s="214"/>
      <c r="AC69" s="218"/>
      <c r="AD69" s="214"/>
      <c r="AE69" s="218"/>
      <c r="AF69" s="214"/>
      <c r="AG69" s="218"/>
      <c r="AH69" s="214">
        <f t="shared" si="22"/>
        <v>400</v>
      </c>
      <c r="AI69" s="218">
        <f>AH69/AH$28</f>
        <v>4.5032976678299183E-4</v>
      </c>
      <c r="AJ69" s="220"/>
      <c r="AK69" s="220"/>
      <c r="AL69" s="220"/>
      <c r="AM69" s="220"/>
      <c r="AN69" s="220"/>
      <c r="AO69" s="220"/>
      <c r="AP69" s="220"/>
    </row>
    <row r="70" spans="1:42" ht="15.75" customHeight="1">
      <c r="A70" s="258" t="s">
        <v>3</v>
      </c>
      <c r="B70" s="259"/>
      <c r="C70" s="248"/>
      <c r="D70" s="244"/>
      <c r="E70" s="245"/>
      <c r="F70" s="244"/>
      <c r="G70" s="245"/>
      <c r="H70" s="246">
        <f>SUM(H64:H69)</f>
        <v>31757.571273914</v>
      </c>
      <c r="I70" s="247">
        <f>H70/H$28</f>
        <v>0.10944848109289358</v>
      </c>
      <c r="J70" s="246">
        <f>SUM(J64:J69)</f>
        <v>36704.903444899421</v>
      </c>
      <c r="K70" s="247">
        <f>SUM(K64:K69)</f>
        <v>8.4023995591346753E-2</v>
      </c>
      <c r="L70" s="246">
        <f>SUM(L64:L69)</f>
        <v>37900.100226396069</v>
      </c>
      <c r="M70" s="247">
        <f>SUM(M64:M69)</f>
        <v>8.3961301698088894E-2</v>
      </c>
      <c r="N70" s="244"/>
      <c r="O70" s="245"/>
      <c r="P70" s="244"/>
      <c r="Q70" s="245"/>
      <c r="R70" s="244"/>
      <c r="S70" s="245"/>
      <c r="T70" s="244"/>
      <c r="U70" s="245"/>
      <c r="V70" s="244"/>
      <c r="W70" s="245"/>
      <c r="X70" s="244"/>
      <c r="Y70" s="245"/>
      <c r="Z70" s="244"/>
      <c r="AA70" s="245"/>
      <c r="AB70" s="244"/>
      <c r="AC70" s="245"/>
      <c r="AD70" s="244"/>
      <c r="AE70" s="245"/>
      <c r="AF70" s="244"/>
      <c r="AG70" s="245"/>
      <c r="AH70" s="244">
        <f>SUM(AH64:AH69)</f>
        <v>74605.003671295475</v>
      </c>
      <c r="AI70" s="245">
        <f>SUM(AI64:AI69)</f>
        <v>6.123840685865322E-2</v>
      </c>
      <c r="AJ70" s="243"/>
      <c r="AK70" s="243"/>
      <c r="AL70" s="243"/>
      <c r="AM70" s="243"/>
      <c r="AN70" s="243"/>
      <c r="AO70" s="243"/>
      <c r="AP70" s="243"/>
    </row>
    <row r="71" spans="1:42" ht="15.75" customHeight="1">
      <c r="A71" s="232"/>
      <c r="B71" s="304" t="s">
        <v>741</v>
      </c>
      <c r="C71" s="217" t="s">
        <v>169</v>
      </c>
      <c r="D71" s="214"/>
      <c r="E71" s="221"/>
      <c r="F71" s="214"/>
      <c r="G71" s="221"/>
      <c r="H71" s="212">
        <v>0</v>
      </c>
      <c r="I71" s="222">
        <v>3.0000000000000001E-3</v>
      </c>
      <c r="J71" s="212">
        <v>0</v>
      </c>
      <c r="K71" s="222">
        <v>0</v>
      </c>
      <c r="L71" s="212">
        <v>0</v>
      </c>
      <c r="M71" s="222">
        <v>0</v>
      </c>
      <c r="N71" s="214"/>
      <c r="O71" s="221"/>
      <c r="P71" s="214"/>
      <c r="Q71" s="221"/>
      <c r="R71" s="214"/>
      <c r="S71" s="221"/>
      <c r="T71" s="214"/>
      <c r="U71" s="221"/>
      <c r="V71" s="214"/>
      <c r="W71" s="221"/>
      <c r="X71" s="214"/>
      <c r="Y71" s="221"/>
      <c r="Z71" s="214"/>
      <c r="AA71" s="221"/>
      <c r="AB71" s="214"/>
      <c r="AC71" s="221"/>
      <c r="AD71" s="214"/>
      <c r="AE71" s="221"/>
      <c r="AF71" s="214"/>
      <c r="AG71" s="221"/>
      <c r="AH71" s="214">
        <f t="shared" ref="AH71:AH78" si="23">SUM(J71,L71,N71,P71,R71,T71,V71,X71,Z71,AB71,AD71,AF71)</f>
        <v>0</v>
      </c>
      <c r="AI71" s="218">
        <f t="shared" ref="AI71:AI78" si="24">AH71/AH$28</f>
        <v>0</v>
      </c>
      <c r="AJ71" s="220"/>
      <c r="AK71" s="220"/>
      <c r="AL71" s="220"/>
      <c r="AM71" s="220"/>
      <c r="AN71" s="220"/>
      <c r="AO71" s="220"/>
      <c r="AP71" s="220"/>
    </row>
    <row r="72" spans="1:42" ht="15.75" customHeight="1">
      <c r="A72" s="189"/>
      <c r="B72" s="304" t="s">
        <v>742</v>
      </c>
      <c r="C72" s="217" t="s">
        <v>137</v>
      </c>
      <c r="D72" s="214"/>
      <c r="E72" s="221"/>
      <c r="F72" s="214"/>
      <c r="G72" s="221"/>
      <c r="H72" s="212">
        <v>0</v>
      </c>
      <c r="I72" s="222">
        <v>5.0000000000000001E-4</v>
      </c>
      <c r="J72" s="212">
        <f>J$28*K72</f>
        <v>218.41917410958905</v>
      </c>
      <c r="K72" s="222">
        <v>5.0000000000000001E-4</v>
      </c>
      <c r="L72" s="212">
        <f>L$28*M72</f>
        <v>225.69981324657533</v>
      </c>
      <c r="M72" s="222">
        <v>5.0000000000000001E-4</v>
      </c>
      <c r="N72" s="214"/>
      <c r="O72" s="221"/>
      <c r="P72" s="214"/>
      <c r="Q72" s="221"/>
      <c r="R72" s="214"/>
      <c r="S72" s="221"/>
      <c r="T72" s="214"/>
      <c r="U72" s="221"/>
      <c r="V72" s="214"/>
      <c r="W72" s="221"/>
      <c r="X72" s="214"/>
      <c r="Y72" s="221"/>
      <c r="Z72" s="214"/>
      <c r="AA72" s="221"/>
      <c r="AB72" s="214"/>
      <c r="AC72" s="221"/>
      <c r="AD72" s="214"/>
      <c r="AE72" s="221"/>
      <c r="AF72" s="214"/>
      <c r="AG72" s="221"/>
      <c r="AH72" s="214">
        <f t="shared" si="23"/>
        <v>444.11898735616438</v>
      </c>
      <c r="AI72" s="218">
        <f t="shared" si="24"/>
        <v>5.0000000000000001E-4</v>
      </c>
      <c r="AJ72" s="220"/>
      <c r="AK72" s="220"/>
      <c r="AL72" s="220"/>
      <c r="AM72" s="220"/>
      <c r="AN72" s="220"/>
      <c r="AO72" s="220"/>
      <c r="AP72" s="220"/>
    </row>
    <row r="73" spans="1:42" ht="15.75" customHeight="1">
      <c r="A73" s="189"/>
      <c r="B73" s="304" t="s">
        <v>743</v>
      </c>
      <c r="C73" s="217" t="s">
        <v>335</v>
      </c>
      <c r="D73" s="214"/>
      <c r="E73" s="218"/>
      <c r="F73" s="214"/>
      <c r="G73" s="218"/>
      <c r="H73" s="212">
        <f>H$28*I73</f>
        <v>290.16000000000003</v>
      </c>
      <c r="I73" s="219">
        <v>1E-3</v>
      </c>
      <c r="J73" s="212">
        <f>J$28*K73</f>
        <v>436.8383482191781</v>
      </c>
      <c r="K73" s="219">
        <v>1E-3</v>
      </c>
      <c r="L73" s="212">
        <f>L$28*M73</f>
        <v>451.39962649315066</v>
      </c>
      <c r="M73" s="219">
        <v>1E-3</v>
      </c>
      <c r="N73" s="214"/>
      <c r="O73" s="218"/>
      <c r="P73" s="214"/>
      <c r="Q73" s="218"/>
      <c r="R73" s="214"/>
      <c r="S73" s="218"/>
      <c r="T73" s="214"/>
      <c r="U73" s="218"/>
      <c r="V73" s="214"/>
      <c r="W73" s="218"/>
      <c r="X73" s="214"/>
      <c r="Y73" s="218"/>
      <c r="Z73" s="214"/>
      <c r="AA73" s="218"/>
      <c r="AB73" s="214"/>
      <c r="AC73" s="218"/>
      <c r="AD73" s="214"/>
      <c r="AE73" s="218"/>
      <c r="AF73" s="214"/>
      <c r="AG73" s="218"/>
      <c r="AH73" s="214">
        <f t="shared" si="23"/>
        <v>888.23797471232876</v>
      </c>
      <c r="AI73" s="218">
        <f t="shared" si="24"/>
        <v>1E-3</v>
      </c>
      <c r="AJ73" s="220"/>
      <c r="AK73" s="220"/>
      <c r="AL73" s="220"/>
      <c r="AM73" s="220"/>
      <c r="AN73" s="220"/>
      <c r="AO73" s="220"/>
      <c r="AP73" s="220"/>
    </row>
    <row r="74" spans="1:42" ht="15.75" customHeight="1">
      <c r="A74" s="189"/>
      <c r="B74" s="304" t="s">
        <v>744</v>
      </c>
      <c r="C74" s="217" t="s">
        <v>136</v>
      </c>
      <c r="D74" s="214"/>
      <c r="E74" s="218"/>
      <c r="F74" s="214"/>
      <c r="G74" s="218"/>
      <c r="H74" s="212">
        <v>0</v>
      </c>
      <c r="I74" s="219">
        <f>H74/H$2</f>
        <v>0</v>
      </c>
      <c r="J74" s="212">
        <v>0</v>
      </c>
      <c r="K74" s="219">
        <f>J74/J$28</f>
        <v>0</v>
      </c>
      <c r="L74" s="212">
        <v>0</v>
      </c>
      <c r="M74" s="219">
        <f>L74/L$28</f>
        <v>0</v>
      </c>
      <c r="N74" s="214"/>
      <c r="O74" s="218"/>
      <c r="P74" s="214"/>
      <c r="Q74" s="218"/>
      <c r="R74" s="214"/>
      <c r="S74" s="218"/>
      <c r="T74" s="214"/>
      <c r="U74" s="218"/>
      <c r="V74" s="214"/>
      <c r="W74" s="218"/>
      <c r="X74" s="214"/>
      <c r="Y74" s="218"/>
      <c r="Z74" s="214"/>
      <c r="AA74" s="218"/>
      <c r="AB74" s="214"/>
      <c r="AC74" s="218"/>
      <c r="AD74" s="214"/>
      <c r="AE74" s="218"/>
      <c r="AF74" s="214"/>
      <c r="AG74" s="218"/>
      <c r="AH74" s="214">
        <f t="shared" si="23"/>
        <v>0</v>
      </c>
      <c r="AI74" s="218">
        <f t="shared" si="24"/>
        <v>0</v>
      </c>
      <c r="AJ74" s="220"/>
      <c r="AK74" s="220"/>
      <c r="AL74" s="220"/>
      <c r="AM74" s="220"/>
      <c r="AN74" s="220"/>
      <c r="AO74" s="220"/>
      <c r="AP74" s="220"/>
    </row>
    <row r="75" spans="1:42" ht="15.75" customHeight="1">
      <c r="A75" s="189"/>
      <c r="B75" s="304" t="s">
        <v>745</v>
      </c>
      <c r="C75" s="217" t="s">
        <v>550</v>
      </c>
      <c r="D75" s="214"/>
      <c r="E75" s="221"/>
      <c r="F75" s="214"/>
      <c r="G75" s="221"/>
      <c r="H75" s="212">
        <v>0</v>
      </c>
      <c r="I75" s="222">
        <f>H75/H$2</f>
        <v>0</v>
      </c>
      <c r="J75" s="212">
        <f>J$28*K75</f>
        <v>0</v>
      </c>
      <c r="K75" s="222">
        <v>0</v>
      </c>
      <c r="L75" s="212">
        <f>L$28*M75</f>
        <v>0</v>
      </c>
      <c r="M75" s="222">
        <v>0</v>
      </c>
      <c r="N75" s="214"/>
      <c r="O75" s="221"/>
      <c r="P75" s="214"/>
      <c r="Q75" s="221"/>
      <c r="R75" s="214"/>
      <c r="S75" s="221"/>
      <c r="T75" s="214"/>
      <c r="U75" s="221"/>
      <c r="V75" s="214"/>
      <c r="W75" s="221"/>
      <c r="X75" s="214"/>
      <c r="Y75" s="221"/>
      <c r="Z75" s="214"/>
      <c r="AA75" s="221"/>
      <c r="AB75" s="214"/>
      <c r="AC75" s="221"/>
      <c r="AD75" s="214"/>
      <c r="AE75" s="221"/>
      <c r="AF75" s="214"/>
      <c r="AG75" s="221"/>
      <c r="AH75" s="214">
        <f t="shared" si="23"/>
        <v>0</v>
      </c>
      <c r="AI75" s="218">
        <f t="shared" si="24"/>
        <v>0</v>
      </c>
      <c r="AJ75" s="220"/>
      <c r="AK75" s="220"/>
      <c r="AL75" s="220"/>
      <c r="AM75" s="220"/>
      <c r="AN75" s="220"/>
      <c r="AO75" s="220"/>
      <c r="AP75" s="220"/>
    </row>
    <row r="76" spans="1:42" ht="15.75" customHeight="1">
      <c r="A76" s="189"/>
      <c r="B76" s="304" t="s">
        <v>746</v>
      </c>
      <c r="C76" s="217" t="s">
        <v>336</v>
      </c>
      <c r="D76" s="214"/>
      <c r="E76" s="218"/>
      <c r="F76" s="214"/>
      <c r="G76" s="218"/>
      <c r="H76" s="212">
        <f>H$28*I76</f>
        <v>10735.92</v>
      </c>
      <c r="I76" s="219">
        <v>3.6999999999999998E-2</v>
      </c>
      <c r="J76" s="212">
        <f>J$28*K76</f>
        <v>15289.342187671235</v>
      </c>
      <c r="K76" s="219">
        <v>3.5000000000000003E-2</v>
      </c>
      <c r="L76" s="212">
        <f>L$28*M76</f>
        <v>15798.986927260275</v>
      </c>
      <c r="M76" s="219">
        <v>3.5000000000000003E-2</v>
      </c>
      <c r="N76" s="214"/>
      <c r="O76" s="218"/>
      <c r="P76" s="214"/>
      <c r="Q76" s="218"/>
      <c r="R76" s="214"/>
      <c r="S76" s="218"/>
      <c r="T76" s="214"/>
      <c r="U76" s="218"/>
      <c r="V76" s="214"/>
      <c r="W76" s="218"/>
      <c r="X76" s="214"/>
      <c r="Y76" s="218"/>
      <c r="Z76" s="214"/>
      <c r="AA76" s="218"/>
      <c r="AB76" s="214"/>
      <c r="AC76" s="218"/>
      <c r="AD76" s="214"/>
      <c r="AE76" s="218"/>
      <c r="AF76" s="214"/>
      <c r="AG76" s="218"/>
      <c r="AH76" s="214">
        <f t="shared" si="23"/>
        <v>31088.329114931512</v>
      </c>
      <c r="AI76" s="218">
        <f t="shared" si="24"/>
        <v>3.5000000000000003E-2</v>
      </c>
      <c r="AJ76" s="220"/>
      <c r="AK76" s="220"/>
      <c r="AL76" s="220"/>
      <c r="AM76" s="220"/>
      <c r="AN76" s="220"/>
      <c r="AO76" s="220"/>
      <c r="AP76" s="220"/>
    </row>
    <row r="77" spans="1:42" ht="15.75" customHeight="1">
      <c r="A77" s="189"/>
      <c r="B77" s="304" t="s">
        <v>549</v>
      </c>
      <c r="C77" s="217" t="s">
        <v>551</v>
      </c>
      <c r="D77" s="214"/>
      <c r="E77" s="218"/>
      <c r="F77" s="214"/>
      <c r="G77" s="218"/>
      <c r="H77" s="212">
        <v>500</v>
      </c>
      <c r="I77" s="219">
        <f>H77/H$28</f>
        <v>1.7231872070581748E-3</v>
      </c>
      <c r="J77" s="212">
        <v>0</v>
      </c>
      <c r="K77" s="219">
        <f>J77/J$28</f>
        <v>0</v>
      </c>
      <c r="L77" s="212">
        <v>500</v>
      </c>
      <c r="M77" s="219">
        <f>L77/L$28</f>
        <v>1.1076659586194558E-3</v>
      </c>
      <c r="N77" s="214"/>
      <c r="O77" s="218"/>
      <c r="P77" s="214"/>
      <c r="Q77" s="218"/>
      <c r="R77" s="214"/>
      <c r="S77" s="218"/>
      <c r="T77" s="214"/>
      <c r="U77" s="218"/>
      <c r="V77" s="214"/>
      <c r="W77" s="218"/>
      <c r="X77" s="214"/>
      <c r="Y77" s="218"/>
      <c r="Z77" s="214"/>
      <c r="AA77" s="218"/>
      <c r="AB77" s="214"/>
      <c r="AC77" s="218"/>
      <c r="AD77" s="214"/>
      <c r="AE77" s="218"/>
      <c r="AF77" s="214"/>
      <c r="AG77" s="218"/>
      <c r="AH77" s="214">
        <f t="shared" si="23"/>
        <v>500</v>
      </c>
      <c r="AI77" s="218">
        <f t="shared" si="24"/>
        <v>5.6291220847873974E-4</v>
      </c>
      <c r="AJ77" s="220"/>
      <c r="AK77" s="220"/>
      <c r="AL77" s="220"/>
      <c r="AM77" s="220"/>
      <c r="AN77" s="220"/>
      <c r="AO77" s="220"/>
      <c r="AP77" s="220"/>
    </row>
    <row r="78" spans="1:42" ht="15.75" customHeight="1">
      <c r="A78" s="189"/>
      <c r="B78" s="304" t="s">
        <v>747</v>
      </c>
      <c r="C78" s="217" t="s">
        <v>139</v>
      </c>
      <c r="D78" s="214"/>
      <c r="E78" s="260"/>
      <c r="F78" s="214"/>
      <c r="G78" s="260"/>
      <c r="H78" s="212">
        <f>H$28*I78</f>
        <v>1450.8</v>
      </c>
      <c r="I78" s="261">
        <v>5.0000000000000001E-3</v>
      </c>
      <c r="J78" s="212">
        <f>J$28*K78</f>
        <v>1310.5150446575344</v>
      </c>
      <c r="K78" s="261">
        <v>3.0000000000000001E-3</v>
      </c>
      <c r="L78" s="212">
        <f>L$28*M78</f>
        <v>1354.198879479452</v>
      </c>
      <c r="M78" s="261">
        <v>3.0000000000000001E-3</v>
      </c>
      <c r="N78" s="214"/>
      <c r="O78" s="260"/>
      <c r="P78" s="214"/>
      <c r="Q78" s="260"/>
      <c r="R78" s="214"/>
      <c r="S78" s="260"/>
      <c r="T78" s="214"/>
      <c r="U78" s="260"/>
      <c r="V78" s="214"/>
      <c r="W78" s="260"/>
      <c r="X78" s="214"/>
      <c r="Y78" s="260"/>
      <c r="Z78" s="214"/>
      <c r="AA78" s="260"/>
      <c r="AB78" s="214"/>
      <c r="AC78" s="260"/>
      <c r="AD78" s="214"/>
      <c r="AE78" s="260"/>
      <c r="AF78" s="214"/>
      <c r="AG78" s="260"/>
      <c r="AH78" s="214">
        <f t="shared" si="23"/>
        <v>2664.7139241369864</v>
      </c>
      <c r="AI78" s="218">
        <f t="shared" si="24"/>
        <v>3.0000000000000001E-3</v>
      </c>
      <c r="AJ78" s="220"/>
      <c r="AK78" s="220"/>
      <c r="AL78" s="220"/>
      <c r="AM78" s="220"/>
      <c r="AN78" s="220"/>
      <c r="AO78" s="220"/>
      <c r="AP78" s="220"/>
    </row>
    <row r="79" spans="1:42" ht="15.75" customHeight="1">
      <c r="A79" s="258" t="s">
        <v>552</v>
      </c>
      <c r="B79" s="259"/>
      <c r="C79" s="248"/>
      <c r="D79" s="262"/>
      <c r="E79" s="245"/>
      <c r="F79" s="262"/>
      <c r="G79" s="245"/>
      <c r="H79" s="263">
        <f t="shared" ref="H79:M79" si="25">SUM(H71:H78)</f>
        <v>12976.88</v>
      </c>
      <c r="I79" s="247">
        <f t="shared" si="25"/>
        <v>4.822318720705817E-2</v>
      </c>
      <c r="J79" s="263">
        <f t="shared" si="25"/>
        <v>17255.114754657538</v>
      </c>
      <c r="K79" s="247">
        <f t="shared" si="25"/>
        <v>3.9500000000000007E-2</v>
      </c>
      <c r="L79" s="263">
        <f t="shared" si="25"/>
        <v>18330.285246479452</v>
      </c>
      <c r="M79" s="247">
        <f t="shared" si="25"/>
        <v>4.0607665958619463E-2</v>
      </c>
      <c r="N79" s="262"/>
      <c r="O79" s="245"/>
      <c r="P79" s="262"/>
      <c r="Q79" s="245"/>
      <c r="R79" s="262"/>
      <c r="S79" s="245"/>
      <c r="T79" s="262"/>
      <c r="U79" s="245"/>
      <c r="V79" s="262"/>
      <c r="W79" s="245"/>
      <c r="X79" s="262"/>
      <c r="Y79" s="245"/>
      <c r="Z79" s="262"/>
      <c r="AA79" s="245"/>
      <c r="AB79" s="262"/>
      <c r="AC79" s="245"/>
      <c r="AD79" s="262"/>
      <c r="AE79" s="245"/>
      <c r="AF79" s="262"/>
      <c r="AG79" s="245"/>
      <c r="AH79" s="262">
        <f>SUM(AH71:AH78)</f>
        <v>35585.400001136994</v>
      </c>
      <c r="AI79" s="245">
        <f>SUM(AI71:AI78)</f>
        <v>4.0062912208478747E-2</v>
      </c>
      <c r="AJ79" s="243"/>
      <c r="AK79" s="243"/>
      <c r="AL79" s="243"/>
      <c r="AM79" s="243"/>
      <c r="AN79" s="243"/>
      <c r="AO79" s="243"/>
      <c r="AP79" s="243"/>
    </row>
    <row r="80" spans="1:42" ht="15.75" customHeight="1">
      <c r="A80" s="189"/>
      <c r="B80" s="304" t="s">
        <v>748</v>
      </c>
      <c r="C80" s="217" t="s">
        <v>142</v>
      </c>
      <c r="D80" s="214"/>
      <c r="E80" s="218"/>
      <c r="F80" s="214"/>
      <c r="G80" s="218"/>
      <c r="H80" s="212">
        <v>700</v>
      </c>
      <c r="I80" s="219">
        <f>H80/H$28</f>
        <v>2.4124620898814449E-3</v>
      </c>
      <c r="J80" s="212">
        <v>0</v>
      </c>
      <c r="K80" s="219">
        <f>J80/J$28</f>
        <v>0</v>
      </c>
      <c r="L80" s="212">
        <v>350</v>
      </c>
      <c r="M80" s="219">
        <f>L80/L$28</f>
        <v>7.7536617103361901E-4</v>
      </c>
      <c r="N80" s="214"/>
      <c r="O80" s="218"/>
      <c r="P80" s="214"/>
      <c r="Q80" s="218"/>
      <c r="R80" s="214"/>
      <c r="S80" s="218"/>
      <c r="T80" s="214"/>
      <c r="U80" s="218"/>
      <c r="V80" s="214"/>
      <c r="W80" s="218"/>
      <c r="X80" s="214"/>
      <c r="Y80" s="218"/>
      <c r="Z80" s="214"/>
      <c r="AA80" s="218"/>
      <c r="AB80" s="214"/>
      <c r="AC80" s="218"/>
      <c r="AD80" s="214"/>
      <c r="AE80" s="218"/>
      <c r="AF80" s="214"/>
      <c r="AG80" s="218"/>
      <c r="AH80" s="214">
        <f>SUM(J80,L80,N80,P80,R80,T80,V80,X80,Z80,AB80,AD80,AF80)</f>
        <v>350</v>
      </c>
      <c r="AI80" s="218">
        <f>AH80/AH$28</f>
        <v>3.9403854593511784E-4</v>
      </c>
      <c r="AJ80" s="220"/>
      <c r="AK80" s="220"/>
      <c r="AL80" s="220"/>
      <c r="AM80" s="220"/>
      <c r="AN80" s="220"/>
      <c r="AO80" s="220"/>
      <c r="AP80" s="220"/>
    </row>
    <row r="81" spans="1:42" ht="15.75" customHeight="1">
      <c r="A81" s="189"/>
      <c r="B81" s="304" t="s">
        <v>749</v>
      </c>
      <c r="C81" s="217" t="s">
        <v>134</v>
      </c>
      <c r="D81" s="214"/>
      <c r="E81" s="221"/>
      <c r="F81" s="214"/>
      <c r="G81" s="221"/>
      <c r="H81" s="212">
        <v>0</v>
      </c>
      <c r="I81" s="222">
        <v>2.0000000000000001E-4</v>
      </c>
      <c r="J81" s="212">
        <f>J$28*K81</f>
        <v>87.367669643835626</v>
      </c>
      <c r="K81" s="222">
        <v>2.0000000000000001E-4</v>
      </c>
      <c r="L81" s="212">
        <f>L$28*M81</f>
        <v>90.279925298630133</v>
      </c>
      <c r="M81" s="222">
        <v>2.0000000000000001E-4</v>
      </c>
      <c r="N81" s="214"/>
      <c r="O81" s="221"/>
      <c r="P81" s="214"/>
      <c r="Q81" s="221"/>
      <c r="R81" s="214"/>
      <c r="S81" s="221"/>
      <c r="T81" s="214"/>
      <c r="U81" s="221"/>
      <c r="V81" s="214"/>
      <c r="W81" s="221"/>
      <c r="X81" s="214"/>
      <c r="Y81" s="221"/>
      <c r="Z81" s="214"/>
      <c r="AA81" s="221"/>
      <c r="AB81" s="214"/>
      <c r="AC81" s="221"/>
      <c r="AD81" s="214"/>
      <c r="AE81" s="221"/>
      <c r="AF81" s="214"/>
      <c r="AG81" s="221"/>
      <c r="AH81" s="214">
        <f>SUM(J81,L81,N81,P81,R81,T81,V81,X81,Z81,AB81,AD81,AF81)</f>
        <v>177.64759494246576</v>
      </c>
      <c r="AI81" s="218">
        <f>AH81/AH$28</f>
        <v>2.0000000000000001E-4</v>
      </c>
      <c r="AJ81" s="220"/>
      <c r="AK81" s="220"/>
      <c r="AL81" s="220"/>
      <c r="AM81" s="220"/>
      <c r="AN81" s="220"/>
      <c r="AO81" s="220"/>
      <c r="AP81" s="220"/>
    </row>
    <row r="82" spans="1:42" ht="15.75" customHeight="1">
      <c r="A82" s="189"/>
      <c r="B82" s="304" t="s">
        <v>750</v>
      </c>
      <c r="C82" s="217" t="s">
        <v>553</v>
      </c>
      <c r="D82" s="214"/>
      <c r="E82" s="218"/>
      <c r="F82" s="214"/>
      <c r="G82" s="218"/>
      <c r="H82" s="212">
        <f>H$26*I82</f>
        <v>0</v>
      </c>
      <c r="I82" s="219">
        <v>0</v>
      </c>
      <c r="J82" s="212">
        <f>J$28*K82</f>
        <v>0</v>
      </c>
      <c r="K82" s="219">
        <v>0</v>
      </c>
      <c r="L82" s="212">
        <f>L$28*M82</f>
        <v>0</v>
      </c>
      <c r="M82" s="219">
        <v>0</v>
      </c>
      <c r="N82" s="214"/>
      <c r="O82" s="218"/>
      <c r="P82" s="214"/>
      <c r="Q82" s="218"/>
      <c r="R82" s="214"/>
      <c r="S82" s="218"/>
      <c r="T82" s="214"/>
      <c r="U82" s="218"/>
      <c r="V82" s="214"/>
      <c r="W82" s="218"/>
      <c r="X82" s="214"/>
      <c r="Y82" s="218"/>
      <c r="Z82" s="214"/>
      <c r="AA82" s="218"/>
      <c r="AB82" s="214"/>
      <c r="AC82" s="218"/>
      <c r="AD82" s="214"/>
      <c r="AE82" s="218"/>
      <c r="AF82" s="214"/>
      <c r="AG82" s="218"/>
      <c r="AH82" s="214">
        <f>SUM(J82,L82,N82,P82,R82,T82,V82,X82,Z82,AB82,AD82,AF82)</f>
        <v>0</v>
      </c>
      <c r="AI82" s="218">
        <f>AH82/AH$28</f>
        <v>0</v>
      </c>
      <c r="AJ82" s="220"/>
      <c r="AK82" s="220"/>
      <c r="AL82" s="220"/>
      <c r="AM82" s="220"/>
      <c r="AN82" s="220"/>
      <c r="AO82" s="220"/>
      <c r="AP82" s="220"/>
    </row>
    <row r="83" spans="1:42" ht="15.75" customHeight="1">
      <c r="A83" s="189"/>
      <c r="B83" s="304" t="s">
        <v>751</v>
      </c>
      <c r="C83" s="217" t="s">
        <v>554</v>
      </c>
      <c r="D83" s="214"/>
      <c r="E83" s="218"/>
      <c r="F83" s="214"/>
      <c r="G83" s="218"/>
      <c r="H83" s="212">
        <f>H$28*I83</f>
        <v>290.16000000000003</v>
      </c>
      <c r="I83" s="219">
        <v>1E-3</v>
      </c>
      <c r="J83" s="212">
        <f>J$28*K83</f>
        <v>436.8383482191781</v>
      </c>
      <c r="K83" s="219">
        <v>1E-3</v>
      </c>
      <c r="L83" s="212">
        <f>L$28*M83</f>
        <v>451.39962649315066</v>
      </c>
      <c r="M83" s="219">
        <v>1E-3</v>
      </c>
      <c r="N83" s="214"/>
      <c r="O83" s="218"/>
      <c r="P83" s="214"/>
      <c r="Q83" s="218"/>
      <c r="R83" s="214"/>
      <c r="S83" s="218"/>
      <c r="T83" s="214"/>
      <c r="U83" s="218"/>
      <c r="V83" s="214"/>
      <c r="W83" s="218"/>
      <c r="X83" s="214"/>
      <c r="Y83" s="218"/>
      <c r="Z83" s="214"/>
      <c r="AA83" s="218"/>
      <c r="AB83" s="214"/>
      <c r="AC83" s="218"/>
      <c r="AD83" s="214"/>
      <c r="AE83" s="218"/>
      <c r="AF83" s="214"/>
      <c r="AG83" s="218"/>
      <c r="AH83" s="214">
        <f>SUM(J83,L83,N83,P83,R83,T83,V83,X83,Z83,AB83,AD83,AF83)</f>
        <v>888.23797471232876</v>
      </c>
      <c r="AI83" s="218">
        <f>AH83/AH$28</f>
        <v>1E-3</v>
      </c>
      <c r="AJ83" s="220"/>
      <c r="AK83" s="220"/>
      <c r="AL83" s="220"/>
      <c r="AM83" s="220"/>
      <c r="AN83" s="220"/>
      <c r="AO83" s="220"/>
      <c r="AP83" s="220"/>
    </row>
    <row r="84" spans="1:42" ht="15.75" customHeight="1">
      <c r="A84" s="200" t="s">
        <v>555</v>
      </c>
      <c r="B84" s="201"/>
      <c r="C84" s="248"/>
      <c r="D84" s="262"/>
      <c r="E84" s="245"/>
      <c r="F84" s="262"/>
      <c r="G84" s="245"/>
      <c r="H84" s="263">
        <f t="shared" ref="H84:M84" si="26">SUM(H80:H83)</f>
        <v>990.16000000000008</v>
      </c>
      <c r="I84" s="247">
        <f t="shared" si="26"/>
        <v>3.612462089881445E-3</v>
      </c>
      <c r="J84" s="263">
        <f t="shared" si="26"/>
        <v>524.2060178630137</v>
      </c>
      <c r="K84" s="247">
        <f t="shared" si="26"/>
        <v>1.2000000000000001E-3</v>
      </c>
      <c r="L84" s="263">
        <f t="shared" si="26"/>
        <v>891.6795517917808</v>
      </c>
      <c r="M84" s="247">
        <f t="shared" si="26"/>
        <v>1.9753661710336188E-3</v>
      </c>
      <c r="N84" s="262"/>
      <c r="O84" s="245"/>
      <c r="P84" s="262"/>
      <c r="Q84" s="245"/>
      <c r="R84" s="262"/>
      <c r="S84" s="245"/>
      <c r="T84" s="262"/>
      <c r="U84" s="245"/>
      <c r="V84" s="262"/>
      <c r="W84" s="245"/>
      <c r="X84" s="262"/>
      <c r="Y84" s="245"/>
      <c r="Z84" s="262"/>
      <c r="AA84" s="245"/>
      <c r="AB84" s="262"/>
      <c r="AC84" s="245"/>
      <c r="AD84" s="262"/>
      <c r="AE84" s="245"/>
      <c r="AF84" s="262"/>
      <c r="AG84" s="245"/>
      <c r="AH84" s="262">
        <f>SUM(AH80:AH83)</f>
        <v>1415.8855696547944</v>
      </c>
      <c r="AI84" s="245">
        <f>SUM(AI80:AI83)</f>
        <v>1.5940385459351177E-3</v>
      </c>
      <c r="AJ84" s="243"/>
      <c r="AK84" s="243"/>
      <c r="AL84" s="243"/>
      <c r="AM84" s="243"/>
      <c r="AN84" s="243"/>
      <c r="AO84" s="243"/>
      <c r="AP84" s="243"/>
    </row>
    <row r="85" spans="1:42" ht="15.75" customHeight="1">
      <c r="A85" s="189"/>
      <c r="B85" s="304" t="s">
        <v>752</v>
      </c>
      <c r="C85" s="217" t="s">
        <v>157</v>
      </c>
      <c r="D85" s="214"/>
      <c r="E85" s="218"/>
      <c r="F85" s="214"/>
      <c r="G85" s="218"/>
      <c r="H85" s="212">
        <v>410</v>
      </c>
      <c r="I85" s="219">
        <f>H85/H$28</f>
        <v>1.4130135097877034E-3</v>
      </c>
      <c r="J85" s="212">
        <v>410</v>
      </c>
      <c r="K85" s="219">
        <f>J85/J$28</f>
        <v>9.3856228893688548E-4</v>
      </c>
      <c r="L85" s="212">
        <v>410</v>
      </c>
      <c r="M85" s="219">
        <f>L85/L$28</f>
        <v>9.0828608606795366E-4</v>
      </c>
      <c r="N85" s="214"/>
      <c r="O85" s="218"/>
      <c r="P85" s="214"/>
      <c r="Q85" s="218"/>
      <c r="R85" s="214"/>
      <c r="S85" s="218"/>
      <c r="T85" s="214"/>
      <c r="U85" s="218"/>
      <c r="V85" s="214"/>
      <c r="W85" s="218"/>
      <c r="X85" s="214"/>
      <c r="Y85" s="218"/>
      <c r="Z85" s="214"/>
      <c r="AA85" s="218"/>
      <c r="AB85" s="214"/>
      <c r="AC85" s="218"/>
      <c r="AD85" s="214"/>
      <c r="AE85" s="218"/>
      <c r="AF85" s="214"/>
      <c r="AG85" s="218"/>
      <c r="AH85" s="214">
        <f>SUM(J85,L85,N85,P85,R85,T85,V85,X85,Z85,AB85,AD85,AF85)</f>
        <v>820</v>
      </c>
      <c r="AI85" s="218">
        <f>AH85/AH$28</f>
        <v>9.2317602190513325E-4</v>
      </c>
      <c r="AJ85" s="220"/>
      <c r="AK85" s="220"/>
      <c r="AL85" s="220"/>
      <c r="AM85" s="220"/>
      <c r="AN85" s="220"/>
      <c r="AO85" s="220"/>
      <c r="AP85" s="220"/>
    </row>
    <row r="86" spans="1:42" ht="15.75" customHeight="1">
      <c r="A86" s="189"/>
      <c r="B86" s="304" t="s">
        <v>753</v>
      </c>
      <c r="C86" s="217" t="s">
        <v>159</v>
      </c>
      <c r="D86" s="214"/>
      <c r="E86" s="218"/>
      <c r="F86" s="214"/>
      <c r="G86" s="218"/>
      <c r="H86" s="212">
        <v>10</v>
      </c>
      <c r="I86" s="219">
        <f>H86/H$28</f>
        <v>3.4463744141163496E-5</v>
      </c>
      <c r="J86" s="212">
        <v>10</v>
      </c>
      <c r="K86" s="219">
        <f>J86/J$28</f>
        <v>2.2891763144802084E-5</v>
      </c>
      <c r="L86" s="212">
        <v>10</v>
      </c>
      <c r="M86" s="219">
        <f>L86/L$28</f>
        <v>2.2153319172389117E-5</v>
      </c>
      <c r="N86" s="214"/>
      <c r="O86" s="218"/>
      <c r="P86" s="214"/>
      <c r="Q86" s="218"/>
      <c r="R86" s="214"/>
      <c r="S86" s="218"/>
      <c r="T86" s="214"/>
      <c r="U86" s="218"/>
      <c r="V86" s="214"/>
      <c r="W86" s="218"/>
      <c r="X86" s="214"/>
      <c r="Y86" s="218"/>
      <c r="Z86" s="214"/>
      <c r="AA86" s="218"/>
      <c r="AB86" s="214"/>
      <c r="AC86" s="218"/>
      <c r="AD86" s="214"/>
      <c r="AE86" s="218"/>
      <c r="AF86" s="214"/>
      <c r="AG86" s="218"/>
      <c r="AH86" s="214">
        <f>SUM(J86,L86,N86,P86,R86,T86,V86,X86,Z86,AB86,AD86,AF86)</f>
        <v>20</v>
      </c>
      <c r="AI86" s="218">
        <f>AH86/AH$28</f>
        <v>2.2516488339149591E-5</v>
      </c>
      <c r="AJ86" s="220"/>
      <c r="AK86" s="220"/>
      <c r="AL86" s="220"/>
      <c r="AM86" s="220"/>
      <c r="AN86" s="220"/>
      <c r="AO86" s="220"/>
      <c r="AP86" s="220"/>
    </row>
    <row r="87" spans="1:42" ht="15.75" customHeight="1">
      <c r="A87" s="189"/>
      <c r="B87" s="304" t="s">
        <v>754</v>
      </c>
      <c r="C87" s="217" t="s">
        <v>158</v>
      </c>
      <c r="D87" s="214"/>
      <c r="E87" s="218"/>
      <c r="F87" s="214"/>
      <c r="G87" s="218"/>
      <c r="H87" s="212">
        <v>350</v>
      </c>
      <c r="I87" s="219">
        <f>H87/H$28</f>
        <v>1.2062310449407225E-3</v>
      </c>
      <c r="J87" s="212">
        <v>350</v>
      </c>
      <c r="K87" s="219">
        <f>J87/J$28</f>
        <v>8.0121171006807294E-4</v>
      </c>
      <c r="L87" s="212">
        <v>350</v>
      </c>
      <c r="M87" s="219">
        <f>L87/L$28</f>
        <v>7.7536617103361901E-4</v>
      </c>
      <c r="N87" s="214"/>
      <c r="O87" s="218"/>
      <c r="P87" s="214"/>
      <c r="Q87" s="218"/>
      <c r="R87" s="214"/>
      <c r="S87" s="218"/>
      <c r="T87" s="214"/>
      <c r="U87" s="218"/>
      <c r="V87" s="214"/>
      <c r="W87" s="218"/>
      <c r="X87" s="214"/>
      <c r="Y87" s="218"/>
      <c r="Z87" s="214"/>
      <c r="AA87" s="218"/>
      <c r="AB87" s="214"/>
      <c r="AC87" s="218"/>
      <c r="AD87" s="214"/>
      <c r="AE87" s="218"/>
      <c r="AF87" s="214"/>
      <c r="AG87" s="218"/>
      <c r="AH87" s="214">
        <f>SUM(J87,L87,N87,P87,R87,T87,V87,X87,Z87,AB87,AD87,AF87)</f>
        <v>700</v>
      </c>
      <c r="AI87" s="218">
        <f>AH87/AH$28</f>
        <v>7.8807709187023569E-4</v>
      </c>
      <c r="AJ87" s="220"/>
      <c r="AK87" s="220"/>
      <c r="AL87" s="220"/>
      <c r="AM87" s="220"/>
      <c r="AN87" s="220"/>
      <c r="AO87" s="220"/>
      <c r="AP87" s="220"/>
    </row>
    <row r="88" spans="1:42" ht="15.75" customHeight="1">
      <c r="A88" s="200" t="s">
        <v>347</v>
      </c>
      <c r="B88" s="201"/>
      <c r="C88" s="248"/>
      <c r="D88" s="262"/>
      <c r="E88" s="245"/>
      <c r="F88" s="262"/>
      <c r="G88" s="245"/>
      <c r="H88" s="263">
        <f t="shared" ref="H88:M88" si="27">SUM(H85:H87)</f>
        <v>770</v>
      </c>
      <c r="I88" s="247">
        <f t="shared" si="27"/>
        <v>2.6537082988695895E-3</v>
      </c>
      <c r="J88" s="263">
        <f t="shared" si="27"/>
        <v>770</v>
      </c>
      <c r="K88" s="247">
        <f t="shared" si="27"/>
        <v>1.7626657621497605E-3</v>
      </c>
      <c r="L88" s="263">
        <f t="shared" si="27"/>
        <v>770</v>
      </c>
      <c r="M88" s="247">
        <f t="shared" si="27"/>
        <v>1.7058055762739618E-3</v>
      </c>
      <c r="N88" s="262"/>
      <c r="O88" s="245"/>
      <c r="P88" s="262"/>
      <c r="Q88" s="245"/>
      <c r="R88" s="262"/>
      <c r="S88" s="245"/>
      <c r="T88" s="262"/>
      <c r="U88" s="245"/>
      <c r="V88" s="262"/>
      <c r="W88" s="245"/>
      <c r="X88" s="262"/>
      <c r="Y88" s="245"/>
      <c r="Z88" s="262"/>
      <c r="AA88" s="245"/>
      <c r="AB88" s="262"/>
      <c r="AC88" s="245"/>
      <c r="AD88" s="262"/>
      <c r="AE88" s="245"/>
      <c r="AF88" s="262"/>
      <c r="AG88" s="245"/>
      <c r="AH88" s="262">
        <f>SUM(AH85:AH87)</f>
        <v>1540</v>
      </c>
      <c r="AI88" s="245">
        <f>SUM(AI85:AI87)</f>
        <v>1.7337696021145184E-3</v>
      </c>
      <c r="AJ88" s="243"/>
      <c r="AK88" s="243"/>
      <c r="AL88" s="243"/>
      <c r="AM88" s="243"/>
      <c r="AN88" s="243"/>
      <c r="AO88" s="243"/>
      <c r="AP88" s="243"/>
    </row>
    <row r="89" spans="1:42" ht="15.75" customHeight="1">
      <c r="A89" s="189"/>
      <c r="B89" s="304" t="s">
        <v>755</v>
      </c>
      <c r="C89" s="217" t="s">
        <v>144</v>
      </c>
      <c r="D89" s="214"/>
      <c r="E89" s="221"/>
      <c r="F89" s="214"/>
      <c r="G89" s="221"/>
      <c r="H89" s="212">
        <f>I89*H$28</f>
        <v>725.4</v>
      </c>
      <c r="I89" s="222">
        <v>2.5000000000000001E-3</v>
      </c>
      <c r="J89" s="212">
        <f>K89*J$28</f>
        <v>1092.0958705479452</v>
      </c>
      <c r="K89" s="222">
        <v>2.5000000000000001E-3</v>
      </c>
      <c r="L89" s="212">
        <f>M89*L$28</f>
        <v>1128.4990662328767</v>
      </c>
      <c r="M89" s="222">
        <v>2.5000000000000001E-3</v>
      </c>
      <c r="N89" s="214"/>
      <c r="O89" s="221"/>
      <c r="P89" s="214"/>
      <c r="Q89" s="221"/>
      <c r="R89" s="214"/>
      <c r="S89" s="221"/>
      <c r="T89" s="214"/>
      <c r="U89" s="221"/>
      <c r="V89" s="214"/>
      <c r="W89" s="221"/>
      <c r="X89" s="214"/>
      <c r="Y89" s="221"/>
      <c r="Z89" s="214"/>
      <c r="AA89" s="221"/>
      <c r="AB89" s="214"/>
      <c r="AC89" s="221"/>
      <c r="AD89" s="214"/>
      <c r="AE89" s="221"/>
      <c r="AF89" s="214"/>
      <c r="AG89" s="221"/>
      <c r="AH89" s="214">
        <f t="shared" ref="AH89:AH106" si="28">SUM(J89,L89,N89,P89,R89,T89,V89,X89,Z89,AB89,AD89,AF89)</f>
        <v>2220.5949367808216</v>
      </c>
      <c r="AI89" s="218">
        <f t="shared" ref="AI89:AI106" si="29">AH89/AH$28</f>
        <v>2.4999999999999996E-3</v>
      </c>
      <c r="AJ89" s="220"/>
      <c r="AK89" s="220"/>
      <c r="AL89" s="220"/>
      <c r="AM89" s="220"/>
      <c r="AN89" s="220"/>
      <c r="AO89" s="220"/>
      <c r="AP89" s="220"/>
    </row>
    <row r="90" spans="1:42" ht="15.75" customHeight="1">
      <c r="A90" s="189"/>
      <c r="B90" s="304" t="s">
        <v>756</v>
      </c>
      <c r="C90" s="217" t="s">
        <v>348</v>
      </c>
      <c r="D90" s="214"/>
      <c r="E90" s="218"/>
      <c r="F90" s="214"/>
      <c r="G90" s="218"/>
      <c r="H90" s="212">
        <v>8000</v>
      </c>
      <c r="I90" s="219">
        <f>H90/H$2</f>
        <v>258.06451612903226</v>
      </c>
      <c r="J90" s="212">
        <v>9000</v>
      </c>
      <c r="K90" s="219">
        <f>J90/J$28</f>
        <v>2.0602586830321876E-2</v>
      </c>
      <c r="L90" s="212">
        <v>9000</v>
      </c>
      <c r="M90" s="219">
        <f>L90/L$28</f>
        <v>1.9937987255150204E-2</v>
      </c>
      <c r="N90" s="214"/>
      <c r="O90" s="218"/>
      <c r="P90" s="214"/>
      <c r="Q90" s="218"/>
      <c r="R90" s="214"/>
      <c r="S90" s="218"/>
      <c r="T90" s="214"/>
      <c r="U90" s="218"/>
      <c r="V90" s="214"/>
      <c r="W90" s="218"/>
      <c r="X90" s="214"/>
      <c r="Y90" s="218"/>
      <c r="Z90" s="214"/>
      <c r="AA90" s="218"/>
      <c r="AB90" s="214"/>
      <c r="AC90" s="218"/>
      <c r="AD90" s="214"/>
      <c r="AE90" s="218"/>
      <c r="AF90" s="214"/>
      <c r="AG90" s="218"/>
      <c r="AH90" s="214">
        <f t="shared" si="28"/>
        <v>18000</v>
      </c>
      <c r="AI90" s="218">
        <f t="shared" si="29"/>
        <v>2.0264839505234632E-2</v>
      </c>
      <c r="AJ90" s="220"/>
      <c r="AK90" s="220"/>
      <c r="AL90" s="220"/>
      <c r="AM90" s="220"/>
      <c r="AN90" s="220"/>
      <c r="AO90" s="220"/>
      <c r="AP90" s="220"/>
    </row>
    <row r="91" spans="1:42" ht="15.75" customHeight="1">
      <c r="A91" s="189"/>
      <c r="B91" s="304" t="s">
        <v>757</v>
      </c>
      <c r="C91" s="217" t="s">
        <v>171</v>
      </c>
      <c r="D91" s="214"/>
      <c r="E91" s="218"/>
      <c r="F91" s="214"/>
      <c r="G91" s="218"/>
      <c r="H91" s="212">
        <v>298</v>
      </c>
      <c r="I91" s="219">
        <f>H91/H$28</f>
        <v>1.0270195754066723E-3</v>
      </c>
      <c r="J91" s="212">
        <v>298</v>
      </c>
      <c r="K91" s="219">
        <f>J91/J$28</f>
        <v>6.8217454171510205E-4</v>
      </c>
      <c r="L91" s="212">
        <v>298</v>
      </c>
      <c r="M91" s="219">
        <f>L91/L$28</f>
        <v>6.6016891133719563E-4</v>
      </c>
      <c r="N91" s="214"/>
      <c r="O91" s="218"/>
      <c r="P91" s="214"/>
      <c r="Q91" s="218"/>
      <c r="R91" s="214"/>
      <c r="S91" s="218"/>
      <c r="T91" s="214"/>
      <c r="U91" s="218"/>
      <c r="V91" s="214"/>
      <c r="W91" s="218"/>
      <c r="X91" s="214"/>
      <c r="Y91" s="218"/>
      <c r="Z91" s="214"/>
      <c r="AA91" s="218"/>
      <c r="AB91" s="214"/>
      <c r="AC91" s="218"/>
      <c r="AD91" s="214"/>
      <c r="AE91" s="218"/>
      <c r="AF91" s="214"/>
      <c r="AG91" s="218"/>
      <c r="AH91" s="214">
        <f t="shared" si="28"/>
        <v>596</v>
      </c>
      <c r="AI91" s="218">
        <f t="shared" si="29"/>
        <v>6.7099135250665777E-4</v>
      </c>
      <c r="AJ91" s="220"/>
      <c r="AK91" s="220"/>
      <c r="AL91" s="220"/>
      <c r="AM91" s="220"/>
      <c r="AN91" s="220"/>
      <c r="AO91" s="220"/>
      <c r="AP91" s="220"/>
    </row>
    <row r="92" spans="1:42" ht="15.75" customHeight="1">
      <c r="A92" s="189"/>
      <c r="B92" s="304" t="s">
        <v>758</v>
      </c>
      <c r="C92" s="217" t="s">
        <v>349</v>
      </c>
      <c r="D92" s="214"/>
      <c r="E92" s="218"/>
      <c r="F92" s="214"/>
      <c r="G92" s="218"/>
      <c r="H92" s="212">
        <v>1736</v>
      </c>
      <c r="I92" s="219">
        <f>H92/H$28</f>
        <v>5.9829059829059833E-3</v>
      </c>
      <c r="J92" s="212">
        <v>1736</v>
      </c>
      <c r="K92" s="219">
        <f>J92/J$28</f>
        <v>3.9740100819376416E-3</v>
      </c>
      <c r="L92" s="212">
        <v>1736</v>
      </c>
      <c r="M92" s="219">
        <f>L92/L$28</f>
        <v>3.8458162083267505E-3</v>
      </c>
      <c r="N92" s="214"/>
      <c r="O92" s="218"/>
      <c r="P92" s="214"/>
      <c r="Q92" s="218"/>
      <c r="R92" s="214"/>
      <c r="S92" s="218"/>
      <c r="T92" s="214"/>
      <c r="U92" s="218"/>
      <c r="V92" s="214"/>
      <c r="W92" s="218"/>
      <c r="X92" s="214"/>
      <c r="Y92" s="218"/>
      <c r="Z92" s="214"/>
      <c r="AA92" s="218"/>
      <c r="AB92" s="214"/>
      <c r="AC92" s="218"/>
      <c r="AD92" s="214"/>
      <c r="AE92" s="218"/>
      <c r="AF92" s="214"/>
      <c r="AG92" s="218"/>
      <c r="AH92" s="214">
        <f t="shared" si="28"/>
        <v>3472</v>
      </c>
      <c r="AI92" s="218">
        <f t="shared" si="29"/>
        <v>3.9088623756763693E-3</v>
      </c>
      <c r="AJ92" s="220"/>
      <c r="AK92" s="220"/>
      <c r="AL92" s="220"/>
      <c r="AM92" s="220"/>
      <c r="AN92" s="220"/>
      <c r="AO92" s="220"/>
      <c r="AP92" s="220"/>
    </row>
    <row r="93" spans="1:42" ht="15.75" customHeight="1">
      <c r="A93" s="189"/>
      <c r="B93" s="304" t="s">
        <v>759</v>
      </c>
      <c r="C93" s="217" t="s">
        <v>561</v>
      </c>
      <c r="D93" s="214"/>
      <c r="E93" s="218"/>
      <c r="F93" s="214"/>
      <c r="G93" s="218"/>
      <c r="H93" s="212">
        <f t="shared" ref="H93:H99" si="30">I93*H$28</f>
        <v>1740.96</v>
      </c>
      <c r="I93" s="219">
        <v>6.0000000000000001E-3</v>
      </c>
      <c r="J93" s="212">
        <f t="shared" ref="J93:J99" si="31">K93*J$28</f>
        <v>2621.0300893150688</v>
      </c>
      <c r="K93" s="219">
        <v>6.0000000000000001E-3</v>
      </c>
      <c r="L93" s="212">
        <f t="shared" ref="L93:L99" si="32">M93*L$28</f>
        <v>2708.397758958904</v>
      </c>
      <c r="M93" s="219">
        <v>6.0000000000000001E-3</v>
      </c>
      <c r="N93" s="214"/>
      <c r="O93" s="218"/>
      <c r="P93" s="214"/>
      <c r="Q93" s="218"/>
      <c r="R93" s="214"/>
      <c r="S93" s="218"/>
      <c r="T93" s="214"/>
      <c r="U93" s="218"/>
      <c r="V93" s="214"/>
      <c r="W93" s="218"/>
      <c r="X93" s="214"/>
      <c r="Y93" s="218"/>
      <c r="Z93" s="214"/>
      <c r="AA93" s="218"/>
      <c r="AB93" s="214"/>
      <c r="AC93" s="218"/>
      <c r="AD93" s="214"/>
      <c r="AE93" s="218"/>
      <c r="AF93" s="214"/>
      <c r="AG93" s="218"/>
      <c r="AH93" s="214">
        <f t="shared" si="28"/>
        <v>5329.4278482739728</v>
      </c>
      <c r="AI93" s="218">
        <f t="shared" si="29"/>
        <v>6.0000000000000001E-3</v>
      </c>
      <c r="AJ93" s="220"/>
      <c r="AK93" s="220"/>
      <c r="AL93" s="220"/>
      <c r="AM93" s="220"/>
      <c r="AN93" s="220"/>
      <c r="AO93" s="220"/>
      <c r="AP93" s="220"/>
    </row>
    <row r="94" spans="1:42" ht="15.75" customHeight="1">
      <c r="A94" s="189"/>
      <c r="B94" s="304" t="s">
        <v>760</v>
      </c>
      <c r="C94" s="217" t="s">
        <v>351</v>
      </c>
      <c r="D94" s="214"/>
      <c r="E94" s="218"/>
      <c r="F94" s="214"/>
      <c r="G94" s="218"/>
      <c r="H94" s="212">
        <f t="shared" si="30"/>
        <v>2176.1999999999998</v>
      </c>
      <c r="I94" s="219">
        <v>7.4999999999999997E-3</v>
      </c>
      <c r="J94" s="212">
        <f t="shared" si="31"/>
        <v>3276.2876116438356</v>
      </c>
      <c r="K94" s="219">
        <v>7.4999999999999997E-3</v>
      </c>
      <c r="L94" s="212">
        <f t="shared" si="32"/>
        <v>4965.3958914246568</v>
      </c>
      <c r="M94" s="219">
        <v>1.0999999999999999E-2</v>
      </c>
      <c r="N94" s="214"/>
      <c r="O94" s="218"/>
      <c r="P94" s="214"/>
      <c r="Q94" s="218"/>
      <c r="R94" s="214"/>
      <c r="S94" s="218"/>
      <c r="T94" s="214"/>
      <c r="U94" s="218"/>
      <c r="V94" s="214"/>
      <c r="W94" s="218"/>
      <c r="X94" s="214"/>
      <c r="Y94" s="218"/>
      <c r="Z94" s="214"/>
      <c r="AA94" s="218"/>
      <c r="AB94" s="214"/>
      <c r="AC94" s="218"/>
      <c r="AD94" s="214"/>
      <c r="AE94" s="218"/>
      <c r="AF94" s="214"/>
      <c r="AG94" s="218"/>
      <c r="AH94" s="214">
        <f t="shared" si="28"/>
        <v>8241.6835030684924</v>
      </c>
      <c r="AI94" s="218">
        <f t="shared" si="29"/>
        <v>9.2786885245901632E-3</v>
      </c>
      <c r="AJ94" s="220"/>
      <c r="AK94" s="220"/>
      <c r="AL94" s="220"/>
      <c r="AM94" s="220"/>
      <c r="AN94" s="220"/>
      <c r="AO94" s="220"/>
      <c r="AP94" s="220"/>
    </row>
    <row r="95" spans="1:42" ht="15.75" customHeight="1">
      <c r="A95" s="189"/>
      <c r="B95" s="304" t="s">
        <v>761</v>
      </c>
      <c r="C95" s="217" t="s">
        <v>352</v>
      </c>
      <c r="D95" s="214"/>
      <c r="E95" s="218"/>
      <c r="F95" s="214"/>
      <c r="G95" s="218"/>
      <c r="H95" s="212">
        <f t="shared" si="30"/>
        <v>2176.1999999999998</v>
      </c>
      <c r="I95" s="219">
        <v>7.4999999999999997E-3</v>
      </c>
      <c r="J95" s="212">
        <f t="shared" si="31"/>
        <v>3276.2876116438356</v>
      </c>
      <c r="K95" s="219">
        <v>7.4999999999999997E-3</v>
      </c>
      <c r="L95" s="212">
        <f t="shared" si="32"/>
        <v>2708.397758958904</v>
      </c>
      <c r="M95" s="219">
        <v>6.0000000000000001E-3</v>
      </c>
      <c r="N95" s="214"/>
      <c r="O95" s="218"/>
      <c r="P95" s="214"/>
      <c r="Q95" s="218"/>
      <c r="R95" s="214"/>
      <c r="S95" s="218"/>
      <c r="T95" s="214"/>
      <c r="U95" s="218"/>
      <c r="V95" s="214"/>
      <c r="W95" s="218"/>
      <c r="X95" s="214"/>
      <c r="Y95" s="218"/>
      <c r="Z95" s="214"/>
      <c r="AA95" s="218"/>
      <c r="AB95" s="214"/>
      <c r="AC95" s="218"/>
      <c r="AD95" s="214"/>
      <c r="AE95" s="218"/>
      <c r="AF95" s="214"/>
      <c r="AG95" s="218"/>
      <c r="AH95" s="214">
        <f t="shared" si="28"/>
        <v>5984.6853706027396</v>
      </c>
      <c r="AI95" s="218">
        <f t="shared" si="29"/>
        <v>6.7377049180327867E-3</v>
      </c>
      <c r="AJ95" s="220"/>
      <c r="AK95" s="220"/>
      <c r="AL95" s="220"/>
      <c r="AM95" s="220"/>
      <c r="AN95" s="220"/>
      <c r="AO95" s="220"/>
      <c r="AP95" s="220"/>
    </row>
    <row r="96" spans="1:42" ht="15.75" customHeight="1">
      <c r="A96" s="189"/>
      <c r="B96" s="304" t="s">
        <v>556</v>
      </c>
      <c r="C96" s="217" t="s">
        <v>145</v>
      </c>
      <c r="D96" s="214"/>
      <c r="E96" s="218"/>
      <c r="F96" s="214"/>
      <c r="G96" s="218"/>
      <c r="H96" s="212">
        <f t="shared" si="30"/>
        <v>145.08000000000001</v>
      </c>
      <c r="I96" s="219">
        <v>5.0000000000000001E-4</v>
      </c>
      <c r="J96" s="212">
        <f t="shared" si="31"/>
        <v>218.41917410958905</v>
      </c>
      <c r="K96" s="219">
        <v>5.0000000000000001E-4</v>
      </c>
      <c r="L96" s="212">
        <f t="shared" si="32"/>
        <v>225.69981324657533</v>
      </c>
      <c r="M96" s="219">
        <v>5.0000000000000001E-4</v>
      </c>
      <c r="N96" s="214"/>
      <c r="O96" s="218"/>
      <c r="P96" s="214"/>
      <c r="Q96" s="218"/>
      <c r="R96" s="214"/>
      <c r="S96" s="218"/>
      <c r="T96" s="214"/>
      <c r="U96" s="218"/>
      <c r="V96" s="214"/>
      <c r="W96" s="218"/>
      <c r="X96" s="214"/>
      <c r="Y96" s="218"/>
      <c r="Z96" s="214"/>
      <c r="AA96" s="218"/>
      <c r="AB96" s="214"/>
      <c r="AC96" s="218"/>
      <c r="AD96" s="214"/>
      <c r="AE96" s="218"/>
      <c r="AF96" s="214"/>
      <c r="AG96" s="218"/>
      <c r="AH96" s="214">
        <f t="shared" si="28"/>
        <v>444.11898735616438</v>
      </c>
      <c r="AI96" s="218">
        <f t="shared" si="29"/>
        <v>5.0000000000000001E-4</v>
      </c>
      <c r="AJ96" s="220"/>
      <c r="AK96" s="220"/>
      <c r="AL96" s="220"/>
      <c r="AM96" s="220"/>
      <c r="AN96" s="220"/>
      <c r="AO96" s="220"/>
      <c r="AP96" s="220"/>
    </row>
    <row r="97" spans="1:42" ht="15.75" customHeight="1">
      <c r="A97" s="189"/>
      <c r="B97" s="304" t="s">
        <v>762</v>
      </c>
      <c r="C97" s="217" t="s">
        <v>146</v>
      </c>
      <c r="D97" s="214"/>
      <c r="E97" s="218"/>
      <c r="F97" s="214"/>
      <c r="G97" s="218"/>
      <c r="H97" s="212">
        <f t="shared" si="30"/>
        <v>145.08000000000001</v>
      </c>
      <c r="I97" s="219">
        <v>5.0000000000000001E-4</v>
      </c>
      <c r="J97" s="212">
        <f t="shared" si="31"/>
        <v>218.41917410958905</v>
      </c>
      <c r="K97" s="219">
        <v>5.0000000000000001E-4</v>
      </c>
      <c r="L97" s="212">
        <f t="shared" si="32"/>
        <v>225.69981324657533</v>
      </c>
      <c r="M97" s="219">
        <v>5.0000000000000001E-4</v>
      </c>
      <c r="N97" s="214"/>
      <c r="O97" s="218"/>
      <c r="P97" s="214"/>
      <c r="Q97" s="218"/>
      <c r="R97" s="214"/>
      <c r="S97" s="218"/>
      <c r="T97" s="214"/>
      <c r="U97" s="218"/>
      <c r="V97" s="214"/>
      <c r="W97" s="218"/>
      <c r="X97" s="214"/>
      <c r="Y97" s="218"/>
      <c r="Z97" s="214"/>
      <c r="AA97" s="218"/>
      <c r="AB97" s="214"/>
      <c r="AC97" s="218"/>
      <c r="AD97" s="214"/>
      <c r="AE97" s="218"/>
      <c r="AF97" s="214"/>
      <c r="AG97" s="218"/>
      <c r="AH97" s="214">
        <f t="shared" si="28"/>
        <v>444.11898735616438</v>
      </c>
      <c r="AI97" s="218">
        <f t="shared" si="29"/>
        <v>5.0000000000000001E-4</v>
      </c>
      <c r="AJ97" s="220"/>
      <c r="AK97" s="220"/>
      <c r="AL97" s="220"/>
      <c r="AM97" s="220"/>
      <c r="AN97" s="220"/>
      <c r="AO97" s="220"/>
      <c r="AP97" s="220"/>
    </row>
    <row r="98" spans="1:42" ht="15.75" customHeight="1">
      <c r="A98" s="189"/>
      <c r="B98" s="304" t="s">
        <v>763</v>
      </c>
      <c r="C98" s="217" t="s">
        <v>353</v>
      </c>
      <c r="D98" s="214"/>
      <c r="E98" s="218"/>
      <c r="F98" s="214"/>
      <c r="G98" s="218"/>
      <c r="H98" s="212">
        <f t="shared" si="30"/>
        <v>145.08000000000001</v>
      </c>
      <c r="I98" s="219">
        <v>5.0000000000000001E-4</v>
      </c>
      <c r="J98" s="212">
        <f t="shared" si="31"/>
        <v>218.41917410958905</v>
      </c>
      <c r="K98" s="219">
        <v>5.0000000000000001E-4</v>
      </c>
      <c r="L98" s="212">
        <f t="shared" si="32"/>
        <v>225.69981324657533</v>
      </c>
      <c r="M98" s="219">
        <v>5.0000000000000001E-4</v>
      </c>
      <c r="N98" s="214"/>
      <c r="O98" s="218"/>
      <c r="P98" s="214"/>
      <c r="Q98" s="218"/>
      <c r="R98" s="214"/>
      <c r="S98" s="218"/>
      <c r="T98" s="214"/>
      <c r="U98" s="218"/>
      <c r="V98" s="214"/>
      <c r="W98" s="218"/>
      <c r="X98" s="214"/>
      <c r="Y98" s="218"/>
      <c r="Z98" s="214"/>
      <c r="AA98" s="218"/>
      <c r="AB98" s="214"/>
      <c r="AC98" s="218"/>
      <c r="AD98" s="214"/>
      <c r="AE98" s="218"/>
      <c r="AF98" s="214"/>
      <c r="AG98" s="218"/>
      <c r="AH98" s="214">
        <f t="shared" si="28"/>
        <v>444.11898735616438</v>
      </c>
      <c r="AI98" s="218">
        <f t="shared" si="29"/>
        <v>5.0000000000000001E-4</v>
      </c>
      <c r="AJ98" s="220"/>
      <c r="AK98" s="220"/>
      <c r="AL98" s="220"/>
      <c r="AM98" s="220"/>
      <c r="AN98" s="220"/>
      <c r="AO98" s="220"/>
      <c r="AP98" s="220"/>
    </row>
    <row r="99" spans="1:42" ht="15.75" customHeight="1">
      <c r="A99" s="189"/>
      <c r="B99" s="304" t="s">
        <v>764</v>
      </c>
      <c r="C99" s="217" t="s">
        <v>147</v>
      </c>
      <c r="D99" s="214"/>
      <c r="E99" s="218"/>
      <c r="F99" s="214"/>
      <c r="G99" s="218"/>
      <c r="H99" s="212">
        <f t="shared" si="30"/>
        <v>58.032000000000004</v>
      </c>
      <c r="I99" s="219">
        <v>2.0000000000000001E-4</v>
      </c>
      <c r="J99" s="212">
        <f t="shared" si="31"/>
        <v>87.367669643835626</v>
      </c>
      <c r="K99" s="219">
        <v>2.0000000000000001E-4</v>
      </c>
      <c r="L99" s="212">
        <f t="shared" si="32"/>
        <v>90.279925298630133</v>
      </c>
      <c r="M99" s="219">
        <v>2.0000000000000001E-4</v>
      </c>
      <c r="N99" s="214"/>
      <c r="O99" s="218"/>
      <c r="P99" s="214"/>
      <c r="Q99" s="218"/>
      <c r="R99" s="214"/>
      <c r="S99" s="218"/>
      <c r="T99" s="214"/>
      <c r="U99" s="218"/>
      <c r="V99" s="214"/>
      <c r="W99" s="218"/>
      <c r="X99" s="214"/>
      <c r="Y99" s="218"/>
      <c r="Z99" s="214"/>
      <c r="AA99" s="218"/>
      <c r="AB99" s="214"/>
      <c r="AC99" s="218"/>
      <c r="AD99" s="214"/>
      <c r="AE99" s="218"/>
      <c r="AF99" s="214"/>
      <c r="AG99" s="218"/>
      <c r="AH99" s="214">
        <f t="shared" si="28"/>
        <v>177.64759494246576</v>
      </c>
      <c r="AI99" s="218">
        <f t="shared" si="29"/>
        <v>2.0000000000000001E-4</v>
      </c>
      <c r="AJ99" s="220"/>
      <c r="AK99" s="220"/>
      <c r="AL99" s="220"/>
      <c r="AM99" s="220"/>
      <c r="AN99" s="220"/>
      <c r="AO99" s="220"/>
      <c r="AP99" s="220"/>
    </row>
    <row r="100" spans="1:42" ht="15.75" customHeight="1">
      <c r="A100" s="189"/>
      <c r="B100" s="304" t="s">
        <v>765</v>
      </c>
      <c r="C100" s="217" t="s">
        <v>148</v>
      </c>
      <c r="D100" s="214"/>
      <c r="E100" s="218"/>
      <c r="F100" s="214"/>
      <c r="G100" s="218"/>
      <c r="H100" s="212">
        <v>43</v>
      </c>
      <c r="I100" s="219">
        <f>H100/H$28</f>
        <v>1.4819409980700303E-4</v>
      </c>
      <c r="J100" s="212">
        <v>43</v>
      </c>
      <c r="K100" s="219">
        <f>J100/J$28</f>
        <v>9.8434581522648964E-5</v>
      </c>
      <c r="L100" s="212">
        <v>43</v>
      </c>
      <c r="M100" s="219">
        <f>L100/L$28</f>
        <v>9.5259272441273199E-5</v>
      </c>
      <c r="N100" s="214"/>
      <c r="O100" s="218"/>
      <c r="P100" s="214"/>
      <c r="Q100" s="218"/>
      <c r="R100" s="214"/>
      <c r="S100" s="218"/>
      <c r="T100" s="214"/>
      <c r="U100" s="218"/>
      <c r="V100" s="214"/>
      <c r="W100" s="218"/>
      <c r="X100" s="214"/>
      <c r="Y100" s="218"/>
      <c r="Z100" s="214"/>
      <c r="AA100" s="218"/>
      <c r="AB100" s="214"/>
      <c r="AC100" s="218"/>
      <c r="AD100" s="214"/>
      <c r="AE100" s="218"/>
      <c r="AF100" s="214"/>
      <c r="AG100" s="218"/>
      <c r="AH100" s="214">
        <f t="shared" si="28"/>
        <v>86</v>
      </c>
      <c r="AI100" s="218">
        <f t="shared" si="29"/>
        <v>9.6820899858343247E-5</v>
      </c>
      <c r="AJ100" s="220"/>
      <c r="AK100" s="220"/>
      <c r="AL100" s="220"/>
      <c r="AM100" s="220"/>
      <c r="AN100" s="220"/>
      <c r="AO100" s="220"/>
      <c r="AP100" s="220"/>
    </row>
    <row r="101" spans="1:42" ht="15.75" customHeight="1">
      <c r="A101" s="189"/>
      <c r="B101" s="304" t="s">
        <v>766</v>
      </c>
      <c r="C101" s="217" t="s">
        <v>563</v>
      </c>
      <c r="D101" s="214"/>
      <c r="E101" s="218"/>
      <c r="F101" s="214"/>
      <c r="G101" s="218"/>
      <c r="H101" s="212">
        <v>472</v>
      </c>
      <c r="I101" s="219">
        <f>H101/H$28</f>
        <v>1.626688723462917E-3</v>
      </c>
      <c r="J101" s="212">
        <v>600</v>
      </c>
      <c r="K101" s="219">
        <f>J101/J$28</f>
        <v>1.3735057886881249E-3</v>
      </c>
      <c r="L101" s="212">
        <v>650</v>
      </c>
      <c r="M101" s="219">
        <f>L101/L$28</f>
        <v>1.4399657462052925E-3</v>
      </c>
      <c r="N101" s="214"/>
      <c r="O101" s="218"/>
      <c r="P101" s="214"/>
      <c r="Q101" s="218"/>
      <c r="R101" s="214"/>
      <c r="S101" s="218"/>
      <c r="T101" s="214"/>
      <c r="U101" s="218"/>
      <c r="V101" s="214"/>
      <c r="W101" s="218"/>
      <c r="X101" s="214"/>
      <c r="Y101" s="218"/>
      <c r="Z101" s="214"/>
      <c r="AA101" s="218"/>
      <c r="AB101" s="214"/>
      <c r="AC101" s="218"/>
      <c r="AD101" s="214"/>
      <c r="AE101" s="218"/>
      <c r="AF101" s="214"/>
      <c r="AG101" s="218"/>
      <c r="AH101" s="214">
        <f t="shared" si="28"/>
        <v>1250</v>
      </c>
      <c r="AI101" s="218">
        <f t="shared" si="29"/>
        <v>1.4072805211968495E-3</v>
      </c>
      <c r="AJ101" s="220"/>
      <c r="AK101" s="220"/>
      <c r="AL101" s="220"/>
      <c r="AM101" s="220"/>
      <c r="AN101" s="220"/>
      <c r="AO101" s="220"/>
      <c r="AP101" s="220"/>
    </row>
    <row r="102" spans="1:42" ht="15.75" customHeight="1">
      <c r="A102" s="189"/>
      <c r="B102" s="304" t="s">
        <v>557</v>
      </c>
      <c r="C102" s="217" t="s">
        <v>149</v>
      </c>
      <c r="D102" s="214"/>
      <c r="E102" s="218"/>
      <c r="F102" s="214"/>
      <c r="G102" s="218"/>
      <c r="H102" s="212">
        <v>200</v>
      </c>
      <c r="I102" s="222">
        <f>H102/H$28</f>
        <v>6.8927488282326992E-4</v>
      </c>
      <c r="J102" s="212">
        <v>250</v>
      </c>
      <c r="K102" s="219">
        <f>J102/J$28</f>
        <v>5.7229407862005208E-4</v>
      </c>
      <c r="L102" s="212">
        <v>250</v>
      </c>
      <c r="M102" s="222">
        <v>1.5E-3</v>
      </c>
      <c r="N102" s="214"/>
      <c r="O102" s="218"/>
      <c r="P102" s="214"/>
      <c r="Q102" s="218"/>
      <c r="R102" s="214"/>
      <c r="S102" s="218"/>
      <c r="T102" s="214"/>
      <c r="U102" s="218"/>
      <c r="V102" s="214"/>
      <c r="W102" s="218"/>
      <c r="X102" s="214"/>
      <c r="Y102" s="218"/>
      <c r="Z102" s="214"/>
      <c r="AA102" s="218"/>
      <c r="AB102" s="214"/>
      <c r="AC102" s="218"/>
      <c r="AD102" s="214"/>
      <c r="AE102" s="218"/>
      <c r="AF102" s="214"/>
      <c r="AG102" s="218"/>
      <c r="AH102" s="214">
        <f t="shared" si="28"/>
        <v>500</v>
      </c>
      <c r="AI102" s="218">
        <f t="shared" si="29"/>
        <v>5.6291220847873974E-4</v>
      </c>
      <c r="AJ102" s="220"/>
      <c r="AK102" s="220"/>
      <c r="AL102" s="220"/>
      <c r="AM102" s="220"/>
      <c r="AN102" s="220"/>
      <c r="AO102" s="220"/>
      <c r="AP102" s="220"/>
    </row>
    <row r="103" spans="1:42" ht="15.75" customHeight="1">
      <c r="A103" s="189"/>
      <c r="B103" s="304" t="s">
        <v>558</v>
      </c>
      <c r="C103" s="217" t="s">
        <v>150</v>
      </c>
      <c r="D103" s="214"/>
      <c r="E103" s="218"/>
      <c r="F103" s="214"/>
      <c r="G103" s="218"/>
      <c r="H103" s="212">
        <v>250</v>
      </c>
      <c r="I103" s="219">
        <v>1.5E-3</v>
      </c>
      <c r="J103" s="212">
        <v>100</v>
      </c>
      <c r="K103" s="219">
        <v>1.5E-3</v>
      </c>
      <c r="L103" s="212">
        <v>100</v>
      </c>
      <c r="M103" s="219">
        <v>1.5E-3</v>
      </c>
      <c r="N103" s="214"/>
      <c r="O103" s="218"/>
      <c r="P103" s="214"/>
      <c r="Q103" s="218"/>
      <c r="R103" s="214"/>
      <c r="S103" s="218"/>
      <c r="T103" s="214"/>
      <c r="U103" s="218"/>
      <c r="V103" s="214"/>
      <c r="W103" s="218"/>
      <c r="X103" s="214"/>
      <c r="Y103" s="218"/>
      <c r="Z103" s="214"/>
      <c r="AA103" s="218"/>
      <c r="AB103" s="214"/>
      <c r="AC103" s="218"/>
      <c r="AD103" s="214"/>
      <c r="AE103" s="218"/>
      <c r="AF103" s="214"/>
      <c r="AG103" s="218"/>
      <c r="AH103" s="214">
        <f t="shared" si="28"/>
        <v>200</v>
      </c>
      <c r="AI103" s="218">
        <f t="shared" si="29"/>
        <v>2.2516488339149591E-4</v>
      </c>
      <c r="AJ103" s="220"/>
      <c r="AK103" s="220"/>
      <c r="AL103" s="220"/>
      <c r="AM103" s="220"/>
      <c r="AN103" s="220"/>
      <c r="AO103" s="220"/>
      <c r="AP103" s="220"/>
    </row>
    <row r="104" spans="1:42" ht="15.75" customHeight="1">
      <c r="A104" s="189"/>
      <c r="B104" s="304" t="s">
        <v>559</v>
      </c>
      <c r="C104" s="217" t="s">
        <v>140</v>
      </c>
      <c r="D104" s="214"/>
      <c r="E104" s="221"/>
      <c r="F104" s="214"/>
      <c r="G104" s="221"/>
      <c r="H104" s="212">
        <f>I104*H$28</f>
        <v>870.48</v>
      </c>
      <c r="I104" s="222">
        <v>3.0000000000000001E-3</v>
      </c>
      <c r="J104" s="212">
        <f>K104*J$28</f>
        <v>1310.5150446575344</v>
      </c>
      <c r="K104" s="222">
        <v>3.0000000000000001E-3</v>
      </c>
      <c r="L104" s="212">
        <f>M104*L$28</f>
        <v>1354.198879479452</v>
      </c>
      <c r="M104" s="222">
        <v>3.0000000000000001E-3</v>
      </c>
      <c r="N104" s="214"/>
      <c r="O104" s="221"/>
      <c r="P104" s="214"/>
      <c r="Q104" s="221"/>
      <c r="R104" s="214"/>
      <c r="S104" s="221"/>
      <c r="T104" s="214"/>
      <c r="U104" s="221"/>
      <c r="V104" s="214"/>
      <c r="W104" s="221"/>
      <c r="X104" s="214"/>
      <c r="Y104" s="221"/>
      <c r="Z104" s="214"/>
      <c r="AA104" s="221"/>
      <c r="AB104" s="214"/>
      <c r="AC104" s="221"/>
      <c r="AD104" s="214"/>
      <c r="AE104" s="221"/>
      <c r="AF104" s="214"/>
      <c r="AG104" s="221"/>
      <c r="AH104" s="214">
        <f t="shared" si="28"/>
        <v>2664.7139241369864</v>
      </c>
      <c r="AI104" s="218">
        <f t="shared" si="29"/>
        <v>3.0000000000000001E-3</v>
      </c>
      <c r="AJ104" s="220"/>
      <c r="AK104" s="220"/>
      <c r="AL104" s="220"/>
      <c r="AM104" s="220"/>
      <c r="AN104" s="220"/>
      <c r="AO104" s="220"/>
      <c r="AP104" s="220"/>
    </row>
    <row r="105" spans="1:42" ht="15.75" customHeight="1">
      <c r="A105" s="189"/>
      <c r="B105" s="304" t="s">
        <v>560</v>
      </c>
      <c r="C105" s="217" t="s">
        <v>151</v>
      </c>
      <c r="D105" s="214"/>
      <c r="E105" s="218"/>
      <c r="F105" s="214"/>
      <c r="G105" s="218"/>
      <c r="H105" s="212">
        <v>2473</v>
      </c>
      <c r="I105" s="219">
        <f>H105/H$28</f>
        <v>8.5228839261097325E-3</v>
      </c>
      <c r="J105" s="212">
        <v>2473</v>
      </c>
      <c r="K105" s="219">
        <f>J105/J$28</f>
        <v>5.6611330257095556E-3</v>
      </c>
      <c r="L105" s="212">
        <v>2473</v>
      </c>
      <c r="M105" s="219">
        <f>L105/L$28</f>
        <v>5.4785158313318278E-3</v>
      </c>
      <c r="N105" s="214"/>
      <c r="O105" s="218"/>
      <c r="P105" s="214"/>
      <c r="Q105" s="218"/>
      <c r="R105" s="214"/>
      <c r="S105" s="218"/>
      <c r="T105" s="214"/>
      <c r="U105" s="218"/>
      <c r="V105" s="214"/>
      <c r="W105" s="218"/>
      <c r="X105" s="214"/>
      <c r="Y105" s="218"/>
      <c r="Z105" s="214"/>
      <c r="AA105" s="218"/>
      <c r="AB105" s="214"/>
      <c r="AC105" s="218"/>
      <c r="AD105" s="214"/>
      <c r="AE105" s="218"/>
      <c r="AF105" s="214"/>
      <c r="AG105" s="218"/>
      <c r="AH105" s="214">
        <f t="shared" si="28"/>
        <v>4946</v>
      </c>
      <c r="AI105" s="218">
        <f t="shared" si="29"/>
        <v>5.5683275662716941E-3</v>
      </c>
      <c r="AJ105" s="220"/>
      <c r="AK105" s="220"/>
      <c r="AL105" s="220"/>
      <c r="AM105" s="220"/>
      <c r="AN105" s="220"/>
      <c r="AO105" s="220"/>
      <c r="AP105" s="220"/>
    </row>
    <row r="106" spans="1:42" ht="15.75" customHeight="1">
      <c r="A106" s="189"/>
      <c r="B106" s="304" t="s">
        <v>767</v>
      </c>
      <c r="C106" s="217" t="s">
        <v>564</v>
      </c>
      <c r="D106" s="214"/>
      <c r="E106" s="218"/>
      <c r="F106" s="214"/>
      <c r="G106" s="218"/>
      <c r="H106" s="212">
        <v>1650</v>
      </c>
      <c r="I106" s="219">
        <f>H106/H$28</f>
        <v>5.6865177832919767E-3</v>
      </c>
      <c r="J106" s="212">
        <v>1650</v>
      </c>
      <c r="K106" s="219">
        <f>J106/J$28</f>
        <v>3.7771409188923437E-3</v>
      </c>
      <c r="L106" s="212">
        <v>1500</v>
      </c>
      <c r="M106" s="219">
        <f>L106/L$28</f>
        <v>3.3229978758583674E-3</v>
      </c>
      <c r="N106" s="214"/>
      <c r="O106" s="218"/>
      <c r="P106" s="214"/>
      <c r="Q106" s="218"/>
      <c r="R106" s="214"/>
      <c r="S106" s="218"/>
      <c r="T106" s="214"/>
      <c r="U106" s="218"/>
      <c r="V106" s="214"/>
      <c r="W106" s="218"/>
      <c r="X106" s="214"/>
      <c r="Y106" s="218"/>
      <c r="Z106" s="214"/>
      <c r="AA106" s="218"/>
      <c r="AB106" s="214"/>
      <c r="AC106" s="218"/>
      <c r="AD106" s="214"/>
      <c r="AE106" s="218"/>
      <c r="AF106" s="214"/>
      <c r="AG106" s="218"/>
      <c r="AH106" s="214">
        <f t="shared" si="28"/>
        <v>3150</v>
      </c>
      <c r="AI106" s="218">
        <f t="shared" si="29"/>
        <v>3.5463469134160608E-3</v>
      </c>
      <c r="AJ106" s="220"/>
      <c r="AK106" s="220"/>
      <c r="AL106" s="220"/>
      <c r="AM106" s="220"/>
      <c r="AN106" s="220"/>
      <c r="AO106" s="220"/>
      <c r="AP106" s="220"/>
    </row>
    <row r="107" spans="1:42" ht="15.75" customHeight="1">
      <c r="A107" s="200" t="s">
        <v>565</v>
      </c>
      <c r="B107" s="201"/>
      <c r="C107" s="248"/>
      <c r="D107" s="262"/>
      <c r="E107" s="245"/>
      <c r="F107" s="262"/>
      <c r="G107" s="245"/>
      <c r="H107" s="263">
        <f t="shared" ref="H107:M107" si="33">SUM(H89:H106)</f>
        <v>23304.512000000006</v>
      </c>
      <c r="I107" s="247">
        <f t="shared" si="33"/>
        <v>258.11789961400603</v>
      </c>
      <c r="J107" s="263">
        <f t="shared" si="33"/>
        <v>28468.841419780823</v>
      </c>
      <c r="K107" s="247">
        <f t="shared" si="33"/>
        <v>6.6441279847407345E-2</v>
      </c>
      <c r="L107" s="263">
        <f t="shared" si="33"/>
        <v>29682.268720093147</v>
      </c>
      <c r="M107" s="247">
        <f t="shared" si="33"/>
        <v>6.7980711100650917E-2</v>
      </c>
      <c r="N107" s="262"/>
      <c r="O107" s="245"/>
      <c r="P107" s="262"/>
      <c r="Q107" s="245"/>
      <c r="R107" s="262"/>
      <c r="S107" s="245"/>
      <c r="T107" s="262"/>
      <c r="U107" s="245"/>
      <c r="V107" s="262"/>
      <c r="W107" s="245"/>
      <c r="X107" s="262"/>
      <c r="Y107" s="245"/>
      <c r="Z107" s="262"/>
      <c r="AA107" s="245"/>
      <c r="AB107" s="262"/>
      <c r="AC107" s="245"/>
      <c r="AD107" s="262"/>
      <c r="AE107" s="245"/>
      <c r="AF107" s="262"/>
      <c r="AG107" s="245"/>
      <c r="AH107" s="262">
        <f>SUM(AH89:AH106)</f>
        <v>58151.110139873977</v>
      </c>
      <c r="AI107" s="245">
        <f>SUM(AI89:AI106)</f>
        <v>6.5467939668653788E-2</v>
      </c>
      <c r="AJ107" s="243"/>
      <c r="AK107" s="243"/>
      <c r="AL107" s="243"/>
      <c r="AM107" s="243"/>
      <c r="AN107" s="243"/>
      <c r="AO107" s="243"/>
      <c r="AP107" s="243"/>
    </row>
    <row r="108" spans="1:42" ht="15.75" customHeight="1">
      <c r="A108" s="189"/>
      <c r="B108" s="304" t="s">
        <v>562</v>
      </c>
      <c r="C108" s="217" t="s">
        <v>155</v>
      </c>
      <c r="D108" s="214"/>
      <c r="E108" s="221"/>
      <c r="F108" s="214"/>
      <c r="G108" s="221"/>
      <c r="H108" s="212">
        <f>I108*H$28</f>
        <v>290.16000000000003</v>
      </c>
      <c r="I108" s="222">
        <v>1E-3</v>
      </c>
      <c r="J108" s="212">
        <f>K108*J$28</f>
        <v>436.8383482191781</v>
      </c>
      <c r="K108" s="222">
        <v>1E-3</v>
      </c>
      <c r="L108" s="212">
        <f>M108*L$28</f>
        <v>451.39962649315066</v>
      </c>
      <c r="M108" s="222">
        <v>1E-3</v>
      </c>
      <c r="N108" s="214"/>
      <c r="O108" s="221"/>
      <c r="P108" s="214"/>
      <c r="Q108" s="221"/>
      <c r="R108" s="214"/>
      <c r="S108" s="221"/>
      <c r="T108" s="214"/>
      <c r="U108" s="221"/>
      <c r="V108" s="214"/>
      <c r="W108" s="221"/>
      <c r="X108" s="214"/>
      <c r="Y108" s="221"/>
      <c r="Z108" s="214"/>
      <c r="AA108" s="221"/>
      <c r="AB108" s="214"/>
      <c r="AC108" s="221"/>
      <c r="AD108" s="214"/>
      <c r="AE108" s="221"/>
      <c r="AF108" s="214"/>
      <c r="AG108" s="221"/>
      <c r="AH108" s="214">
        <f>SUM(J108,L108,N108,P108,R108,T108,V108,X108,Z108,AB108,AD108,AF108)</f>
        <v>888.23797471232876</v>
      </c>
      <c r="AI108" s="218">
        <f>AH108/AH$28</f>
        <v>1E-3</v>
      </c>
      <c r="AJ108" s="220"/>
      <c r="AK108" s="220"/>
      <c r="AL108" s="220"/>
      <c r="AM108" s="220"/>
      <c r="AN108" s="220"/>
      <c r="AO108" s="220"/>
      <c r="AP108" s="220"/>
    </row>
    <row r="109" spans="1:42" ht="15.75" customHeight="1">
      <c r="A109" s="189"/>
      <c r="B109" s="304" t="s">
        <v>768</v>
      </c>
      <c r="C109" s="217" t="s">
        <v>355</v>
      </c>
      <c r="D109" s="214"/>
      <c r="E109" s="221"/>
      <c r="F109" s="214"/>
      <c r="G109" s="221"/>
      <c r="H109" s="212">
        <f>I109*H$28</f>
        <v>290.16000000000003</v>
      </c>
      <c r="I109" s="222">
        <v>1E-3</v>
      </c>
      <c r="J109" s="212">
        <f>K109*J$28</f>
        <v>436.8383482191781</v>
      </c>
      <c r="K109" s="222">
        <v>1E-3</v>
      </c>
      <c r="L109" s="212">
        <f>M109*L$28</f>
        <v>451.39962649315066</v>
      </c>
      <c r="M109" s="222">
        <v>1E-3</v>
      </c>
      <c r="N109" s="214"/>
      <c r="O109" s="221"/>
      <c r="P109" s="214"/>
      <c r="Q109" s="221"/>
      <c r="R109" s="214"/>
      <c r="S109" s="221"/>
      <c r="T109" s="214"/>
      <c r="U109" s="221"/>
      <c r="V109" s="214"/>
      <c r="W109" s="221"/>
      <c r="X109" s="214"/>
      <c r="Y109" s="221"/>
      <c r="Z109" s="214"/>
      <c r="AA109" s="221"/>
      <c r="AB109" s="214"/>
      <c r="AC109" s="221"/>
      <c r="AD109" s="214"/>
      <c r="AE109" s="221"/>
      <c r="AF109" s="214"/>
      <c r="AG109" s="221"/>
      <c r="AH109" s="214">
        <f>SUM(J109,L109,N109,P109,R109,T109,V109,X109,Z109,AB109,AD109,AF109)</f>
        <v>888.23797471232876</v>
      </c>
      <c r="AI109" s="218">
        <f>AH109/AH$28</f>
        <v>1E-3</v>
      </c>
      <c r="AJ109" s="220"/>
      <c r="AK109" s="220"/>
      <c r="AL109" s="220"/>
      <c r="AM109" s="220"/>
      <c r="AN109" s="220"/>
      <c r="AO109" s="220"/>
      <c r="AP109" s="220"/>
    </row>
    <row r="110" spans="1:42" ht="15.75" customHeight="1">
      <c r="A110" s="189"/>
      <c r="B110" s="304" t="s">
        <v>769</v>
      </c>
      <c r="C110" s="217" t="s">
        <v>357</v>
      </c>
      <c r="D110" s="214"/>
      <c r="E110" s="218"/>
      <c r="F110" s="214"/>
      <c r="G110" s="218"/>
      <c r="H110" s="212">
        <v>4793</v>
      </c>
      <c r="I110" s="219">
        <v>1E-3</v>
      </c>
      <c r="J110" s="212">
        <v>4750</v>
      </c>
      <c r="K110" s="219">
        <f>J110/J$28</f>
        <v>1.0873587493780991E-2</v>
      </c>
      <c r="L110" s="212">
        <v>4750</v>
      </c>
      <c r="M110" s="219">
        <f>L110/L$28</f>
        <v>1.052282660688483E-2</v>
      </c>
      <c r="N110" s="214"/>
      <c r="O110" s="218"/>
      <c r="P110" s="214"/>
      <c r="Q110" s="218"/>
      <c r="R110" s="214"/>
      <c r="S110" s="218"/>
      <c r="T110" s="214"/>
      <c r="U110" s="218"/>
      <c r="V110" s="214"/>
      <c r="W110" s="218"/>
      <c r="X110" s="214"/>
      <c r="Y110" s="218"/>
      <c r="Z110" s="214"/>
      <c r="AA110" s="218"/>
      <c r="AB110" s="214"/>
      <c r="AC110" s="218"/>
      <c r="AD110" s="214"/>
      <c r="AE110" s="218"/>
      <c r="AF110" s="214"/>
      <c r="AG110" s="218"/>
      <c r="AH110" s="214">
        <f>SUM(J110,L110,N110,P110,R110,T110,V110,X110,Z110,AB110,AD110,AF110)</f>
        <v>9500</v>
      </c>
      <c r="AI110" s="218">
        <f>AH110/AH$28</f>
        <v>1.0695331961096056E-2</v>
      </c>
      <c r="AJ110" s="220"/>
      <c r="AK110" s="220"/>
      <c r="AL110" s="220"/>
      <c r="AM110" s="220"/>
      <c r="AN110" s="220"/>
      <c r="AO110" s="220"/>
      <c r="AP110" s="220"/>
    </row>
    <row r="111" spans="1:42" ht="15.75" customHeight="1">
      <c r="A111" s="200" t="s">
        <v>156</v>
      </c>
      <c r="B111" s="201"/>
      <c r="C111" s="248"/>
      <c r="D111" s="262"/>
      <c r="E111" s="245"/>
      <c r="F111" s="262"/>
      <c r="G111" s="245"/>
      <c r="H111" s="263">
        <f t="shared" ref="H111:M111" si="34">SUM(H108:H110)</f>
        <v>5373.32</v>
      </c>
      <c r="I111" s="247">
        <f t="shared" si="34"/>
        <v>3.0000000000000001E-3</v>
      </c>
      <c r="J111" s="263">
        <f t="shared" si="34"/>
        <v>5623.676696438356</v>
      </c>
      <c r="K111" s="247">
        <f t="shared" si="34"/>
        <v>1.2873587493780991E-2</v>
      </c>
      <c r="L111" s="263">
        <f t="shared" si="34"/>
        <v>5652.7992529863013</v>
      </c>
      <c r="M111" s="247">
        <f t="shared" si="34"/>
        <v>1.252282660688483E-2</v>
      </c>
      <c r="N111" s="262"/>
      <c r="O111" s="245"/>
      <c r="P111" s="262"/>
      <c r="Q111" s="245"/>
      <c r="R111" s="262"/>
      <c r="S111" s="245"/>
      <c r="T111" s="262"/>
      <c r="U111" s="245"/>
      <c r="V111" s="262"/>
      <c r="W111" s="245"/>
      <c r="X111" s="262"/>
      <c r="Y111" s="245"/>
      <c r="Z111" s="262"/>
      <c r="AA111" s="245"/>
      <c r="AB111" s="262"/>
      <c r="AC111" s="245"/>
      <c r="AD111" s="262"/>
      <c r="AE111" s="245"/>
      <c r="AF111" s="262"/>
      <c r="AG111" s="245"/>
      <c r="AH111" s="262">
        <f>SUM(AH108:AH110)</f>
        <v>11276.475949424657</v>
      </c>
      <c r="AI111" s="245">
        <f>SUM(AI108:AI110)</f>
        <v>1.2695331961096056E-2</v>
      </c>
      <c r="AJ111" s="243"/>
      <c r="AK111" s="243"/>
      <c r="AL111" s="243"/>
      <c r="AM111" s="243"/>
      <c r="AN111" s="243"/>
      <c r="AO111" s="243"/>
      <c r="AP111" s="243"/>
    </row>
    <row r="112" spans="1:42" ht="15.75" customHeight="1">
      <c r="A112" s="189"/>
      <c r="B112" s="304" t="s">
        <v>770</v>
      </c>
      <c r="C112" s="217" t="s">
        <v>160</v>
      </c>
      <c r="D112" s="214"/>
      <c r="E112" s="218"/>
      <c r="F112" s="214"/>
      <c r="G112" s="218"/>
      <c r="H112" s="212">
        <f>I112*H$28</f>
        <v>290.16000000000003</v>
      </c>
      <c r="I112" s="219">
        <v>1E-3</v>
      </c>
      <c r="J112" s="212">
        <f>K112*J$28</f>
        <v>436.8383482191781</v>
      </c>
      <c r="K112" s="219">
        <v>1E-3</v>
      </c>
      <c r="L112" s="212">
        <f>M112*L$28</f>
        <v>451.39962649315066</v>
      </c>
      <c r="M112" s="219">
        <v>1E-3</v>
      </c>
      <c r="N112" s="214"/>
      <c r="O112" s="218"/>
      <c r="P112" s="214"/>
      <c r="Q112" s="218"/>
      <c r="R112" s="214"/>
      <c r="S112" s="218"/>
      <c r="T112" s="214"/>
      <c r="U112" s="218"/>
      <c r="V112" s="214"/>
      <c r="W112" s="218"/>
      <c r="X112" s="214"/>
      <c r="Y112" s="218"/>
      <c r="Z112" s="214"/>
      <c r="AA112" s="218"/>
      <c r="AB112" s="214"/>
      <c r="AC112" s="218"/>
      <c r="AD112" s="214"/>
      <c r="AE112" s="218"/>
      <c r="AF112" s="214"/>
      <c r="AG112" s="218"/>
      <c r="AH112" s="214">
        <f t="shared" ref="AH112:AH125" si="35">SUM(J112,L112,N112,P112,R112,T112,V112,X112,Z112,AB112,AD112,AF112)</f>
        <v>888.23797471232876</v>
      </c>
      <c r="AI112" s="218">
        <f t="shared" ref="AI112:AI125" si="36">AH112/AH$28</f>
        <v>1E-3</v>
      </c>
      <c r="AJ112" s="220"/>
      <c r="AK112" s="220"/>
      <c r="AL112" s="220"/>
      <c r="AM112" s="220"/>
      <c r="AN112" s="220"/>
      <c r="AO112" s="220"/>
      <c r="AP112" s="220"/>
    </row>
    <row r="113" spans="1:42" ht="15.75" customHeight="1">
      <c r="A113" s="189"/>
      <c r="B113" s="304" t="s">
        <v>771</v>
      </c>
      <c r="C113" s="217" t="s">
        <v>359</v>
      </c>
      <c r="D113" s="214"/>
      <c r="E113" s="221"/>
      <c r="F113" s="214"/>
      <c r="G113" s="221"/>
      <c r="H113" s="212">
        <f>I113*H$28</f>
        <v>145.08000000000001</v>
      </c>
      <c r="I113" s="222">
        <v>5.0000000000000001E-4</v>
      </c>
      <c r="J113" s="212">
        <f>K113*J$28</f>
        <v>218.41917410958905</v>
      </c>
      <c r="K113" s="222">
        <v>5.0000000000000001E-4</v>
      </c>
      <c r="L113" s="212">
        <f>M113*L$28</f>
        <v>225.69981324657533</v>
      </c>
      <c r="M113" s="222">
        <v>5.0000000000000001E-4</v>
      </c>
      <c r="N113" s="214"/>
      <c r="O113" s="221"/>
      <c r="P113" s="214"/>
      <c r="Q113" s="221"/>
      <c r="R113" s="214"/>
      <c r="S113" s="221"/>
      <c r="T113" s="214"/>
      <c r="U113" s="221"/>
      <c r="V113" s="214"/>
      <c r="W113" s="221"/>
      <c r="X113" s="214"/>
      <c r="Y113" s="221"/>
      <c r="Z113" s="214"/>
      <c r="AA113" s="221"/>
      <c r="AB113" s="214"/>
      <c r="AC113" s="221"/>
      <c r="AD113" s="214"/>
      <c r="AE113" s="221"/>
      <c r="AF113" s="214"/>
      <c r="AG113" s="221"/>
      <c r="AH113" s="214">
        <f t="shared" si="35"/>
        <v>444.11898735616438</v>
      </c>
      <c r="AI113" s="218">
        <f t="shared" si="36"/>
        <v>5.0000000000000001E-4</v>
      </c>
      <c r="AJ113" s="220"/>
      <c r="AK113" s="220"/>
      <c r="AL113" s="220"/>
      <c r="AM113" s="220"/>
      <c r="AN113" s="220"/>
      <c r="AO113" s="220"/>
      <c r="AP113" s="220"/>
    </row>
    <row r="114" spans="1:42" ht="15.75" customHeight="1">
      <c r="A114" s="189"/>
      <c r="B114" s="304" t="s">
        <v>772</v>
      </c>
      <c r="C114" s="217" t="s">
        <v>165</v>
      </c>
      <c r="D114" s="214"/>
      <c r="E114" s="218"/>
      <c r="F114" s="214"/>
      <c r="G114" s="218"/>
      <c r="H114" s="212">
        <f>I114*H$28</f>
        <v>290.16000000000003</v>
      </c>
      <c r="I114" s="219">
        <v>1E-3</v>
      </c>
      <c r="J114" s="212">
        <f>K114*J$28</f>
        <v>436.8383482191781</v>
      </c>
      <c r="K114" s="219">
        <v>1E-3</v>
      </c>
      <c r="L114" s="212">
        <f>M114*L$28</f>
        <v>451.39962649315066</v>
      </c>
      <c r="M114" s="219">
        <v>1E-3</v>
      </c>
      <c r="N114" s="214"/>
      <c r="O114" s="218"/>
      <c r="P114" s="214"/>
      <c r="Q114" s="218"/>
      <c r="R114" s="214"/>
      <c r="S114" s="218"/>
      <c r="T114" s="214"/>
      <c r="U114" s="218"/>
      <c r="V114" s="214"/>
      <c r="W114" s="218"/>
      <c r="X114" s="214"/>
      <c r="Y114" s="218"/>
      <c r="Z114" s="214"/>
      <c r="AA114" s="218"/>
      <c r="AB114" s="214"/>
      <c r="AC114" s="218"/>
      <c r="AD114" s="214"/>
      <c r="AE114" s="218"/>
      <c r="AF114" s="214"/>
      <c r="AG114" s="218"/>
      <c r="AH114" s="214">
        <f t="shared" si="35"/>
        <v>888.23797471232876</v>
      </c>
      <c r="AI114" s="218">
        <f t="shared" si="36"/>
        <v>1E-3</v>
      </c>
      <c r="AJ114" s="220"/>
      <c r="AK114" s="220"/>
      <c r="AL114" s="220"/>
      <c r="AM114" s="220"/>
      <c r="AN114" s="220"/>
      <c r="AO114" s="220"/>
      <c r="AP114" s="220"/>
    </row>
    <row r="115" spans="1:42" ht="15.75" customHeight="1">
      <c r="A115" s="189"/>
      <c r="B115" s="304" t="s">
        <v>773</v>
      </c>
      <c r="C115" s="217" t="s">
        <v>161</v>
      </c>
      <c r="D115" s="214"/>
      <c r="E115" s="218"/>
      <c r="F115" s="214"/>
      <c r="G115" s="218"/>
      <c r="H115" s="212">
        <v>900</v>
      </c>
      <c r="I115" s="219">
        <v>4.0000000000000002E-4</v>
      </c>
      <c r="J115" s="212">
        <v>900</v>
      </c>
      <c r="K115" s="219">
        <f>J115/J$28</f>
        <v>2.0602586830321874E-3</v>
      </c>
      <c r="L115" s="212">
        <v>900</v>
      </c>
      <c r="M115" s="219">
        <f>L115/L$28</f>
        <v>1.9937987255150202E-3</v>
      </c>
      <c r="N115" s="214"/>
      <c r="O115" s="218"/>
      <c r="P115" s="214"/>
      <c r="Q115" s="218"/>
      <c r="R115" s="214"/>
      <c r="S115" s="218"/>
      <c r="T115" s="214"/>
      <c r="U115" s="218"/>
      <c r="V115" s="214"/>
      <c r="W115" s="218"/>
      <c r="X115" s="214"/>
      <c r="Y115" s="218"/>
      <c r="Z115" s="214"/>
      <c r="AA115" s="218"/>
      <c r="AB115" s="214"/>
      <c r="AC115" s="218"/>
      <c r="AD115" s="214"/>
      <c r="AE115" s="218"/>
      <c r="AF115" s="214"/>
      <c r="AG115" s="218"/>
      <c r="AH115" s="214">
        <f t="shared" si="35"/>
        <v>1800</v>
      </c>
      <c r="AI115" s="218">
        <f t="shared" si="36"/>
        <v>2.0264839505234633E-3</v>
      </c>
      <c r="AJ115" s="220"/>
      <c r="AK115" s="220"/>
      <c r="AL115" s="220"/>
      <c r="AM115" s="220"/>
      <c r="AN115" s="220"/>
      <c r="AO115" s="220"/>
      <c r="AP115" s="220"/>
    </row>
    <row r="116" spans="1:42" ht="15.75" customHeight="1">
      <c r="A116" s="189"/>
      <c r="B116" s="304" t="s">
        <v>774</v>
      </c>
      <c r="C116" s="217" t="s">
        <v>239</v>
      </c>
      <c r="D116" s="214"/>
      <c r="E116" s="218"/>
      <c r="F116" s="214"/>
      <c r="G116" s="218"/>
      <c r="H116" s="212">
        <v>5000</v>
      </c>
      <c r="I116" s="219">
        <f>H116/H$28</f>
        <v>1.7231872070581748E-2</v>
      </c>
      <c r="J116" s="212">
        <v>5000</v>
      </c>
      <c r="K116" s="219">
        <f>J116/J$28</f>
        <v>1.1445881572401041E-2</v>
      </c>
      <c r="L116" s="212">
        <v>5000</v>
      </c>
      <c r="M116" s="219">
        <f>L116/L$28</f>
        <v>1.1076659586194557E-2</v>
      </c>
      <c r="N116" s="214"/>
      <c r="O116" s="218"/>
      <c r="P116" s="214"/>
      <c r="Q116" s="218"/>
      <c r="R116" s="214"/>
      <c r="S116" s="218"/>
      <c r="T116" s="214"/>
      <c r="U116" s="218"/>
      <c r="V116" s="214"/>
      <c r="W116" s="218"/>
      <c r="X116" s="214"/>
      <c r="Y116" s="218"/>
      <c r="Z116" s="214"/>
      <c r="AA116" s="218"/>
      <c r="AB116" s="214"/>
      <c r="AC116" s="218"/>
      <c r="AD116" s="214"/>
      <c r="AE116" s="218"/>
      <c r="AF116" s="214"/>
      <c r="AG116" s="218"/>
      <c r="AH116" s="214">
        <f t="shared" si="35"/>
        <v>10000</v>
      </c>
      <c r="AI116" s="218">
        <f t="shared" si="36"/>
        <v>1.1258244169574796E-2</v>
      </c>
      <c r="AJ116" s="220"/>
      <c r="AK116" s="220"/>
      <c r="AL116" s="220"/>
      <c r="AM116" s="220"/>
      <c r="AN116" s="220"/>
      <c r="AO116" s="220"/>
      <c r="AP116" s="220"/>
    </row>
    <row r="117" spans="1:42" ht="15.75" customHeight="1">
      <c r="A117" s="189"/>
      <c r="B117" s="304" t="s">
        <v>775</v>
      </c>
      <c r="C117" s="217" t="s">
        <v>162</v>
      </c>
      <c r="D117" s="214"/>
      <c r="E117" s="218"/>
      <c r="F117" s="214"/>
      <c r="G117" s="218"/>
      <c r="H117" s="212">
        <f>I117*H$28</f>
        <v>580.32000000000005</v>
      </c>
      <c r="I117" s="219">
        <v>2E-3</v>
      </c>
      <c r="J117" s="212">
        <f>K117*J$28</f>
        <v>873.6766964383562</v>
      </c>
      <c r="K117" s="219">
        <v>2E-3</v>
      </c>
      <c r="L117" s="212">
        <f>M117*L$28</f>
        <v>902.79925298630133</v>
      </c>
      <c r="M117" s="219">
        <v>2E-3</v>
      </c>
      <c r="N117" s="214"/>
      <c r="O117" s="218"/>
      <c r="P117" s="214"/>
      <c r="Q117" s="218"/>
      <c r="R117" s="214"/>
      <c r="S117" s="218"/>
      <c r="T117" s="214"/>
      <c r="U117" s="218"/>
      <c r="V117" s="214"/>
      <c r="W117" s="218"/>
      <c r="X117" s="214"/>
      <c r="Y117" s="218"/>
      <c r="Z117" s="214"/>
      <c r="AA117" s="218"/>
      <c r="AB117" s="214"/>
      <c r="AC117" s="218"/>
      <c r="AD117" s="214"/>
      <c r="AE117" s="218"/>
      <c r="AF117" s="214"/>
      <c r="AG117" s="218"/>
      <c r="AH117" s="214">
        <f t="shared" si="35"/>
        <v>1776.4759494246575</v>
      </c>
      <c r="AI117" s="218">
        <f t="shared" si="36"/>
        <v>2E-3</v>
      </c>
      <c r="AJ117" s="220"/>
      <c r="AK117" s="220"/>
      <c r="AL117" s="220"/>
      <c r="AM117" s="220"/>
      <c r="AN117" s="220"/>
      <c r="AO117" s="220"/>
      <c r="AP117" s="220"/>
    </row>
    <row r="118" spans="1:42" ht="15.75" customHeight="1">
      <c r="A118" s="189"/>
      <c r="B118" s="304" t="s">
        <v>776</v>
      </c>
      <c r="C118" s="217" t="s">
        <v>238</v>
      </c>
      <c r="D118" s="214"/>
      <c r="E118" s="218"/>
      <c r="F118" s="214"/>
      <c r="G118" s="218"/>
      <c r="H118" s="212">
        <f>I118*H$2</f>
        <v>9.2999999999999999E-2</v>
      </c>
      <c r="I118" s="219">
        <v>3.0000000000000001E-3</v>
      </c>
      <c r="J118" s="212">
        <f>K118*J$28</f>
        <v>1747.3533928767124</v>
      </c>
      <c r="K118" s="219">
        <v>4.0000000000000001E-3</v>
      </c>
      <c r="L118" s="212">
        <f>M118*L$28</f>
        <v>1805.5985059726027</v>
      </c>
      <c r="M118" s="219">
        <v>4.0000000000000001E-3</v>
      </c>
      <c r="N118" s="214"/>
      <c r="O118" s="218"/>
      <c r="P118" s="214"/>
      <c r="Q118" s="218"/>
      <c r="R118" s="214"/>
      <c r="S118" s="218"/>
      <c r="T118" s="214"/>
      <c r="U118" s="218"/>
      <c r="V118" s="214"/>
      <c r="W118" s="218"/>
      <c r="X118" s="214"/>
      <c r="Y118" s="218"/>
      <c r="Z118" s="214"/>
      <c r="AA118" s="218"/>
      <c r="AB118" s="214"/>
      <c r="AC118" s="218"/>
      <c r="AD118" s="214"/>
      <c r="AE118" s="218"/>
      <c r="AF118" s="214"/>
      <c r="AG118" s="218"/>
      <c r="AH118" s="214">
        <f t="shared" si="35"/>
        <v>3552.9518988493151</v>
      </c>
      <c r="AI118" s="218">
        <f t="shared" si="36"/>
        <v>4.0000000000000001E-3</v>
      </c>
      <c r="AJ118" s="220"/>
      <c r="AK118" s="220"/>
      <c r="AL118" s="220"/>
      <c r="AM118" s="220"/>
      <c r="AN118" s="220"/>
      <c r="AO118" s="220"/>
      <c r="AP118" s="220"/>
    </row>
    <row r="119" spans="1:42" ht="15.75" customHeight="1">
      <c r="A119" s="189"/>
      <c r="B119" s="304" t="s">
        <v>777</v>
      </c>
      <c r="C119" s="217" t="s">
        <v>163</v>
      </c>
      <c r="D119" s="214"/>
      <c r="E119" s="218"/>
      <c r="F119" s="214"/>
      <c r="G119" s="218"/>
      <c r="H119" s="212">
        <v>0</v>
      </c>
      <c r="I119" s="219">
        <f>H119/H$28</f>
        <v>0</v>
      </c>
      <c r="J119" s="212">
        <v>0</v>
      </c>
      <c r="K119" s="219">
        <f t="shared" ref="K119:K125" si="37">J119/J$28</f>
        <v>0</v>
      </c>
      <c r="L119" s="212">
        <v>0</v>
      </c>
      <c r="M119" s="219">
        <f t="shared" ref="M119:M125" si="38">L119/L$28</f>
        <v>0</v>
      </c>
      <c r="N119" s="214"/>
      <c r="O119" s="218"/>
      <c r="P119" s="214"/>
      <c r="Q119" s="218"/>
      <c r="R119" s="214"/>
      <c r="S119" s="218"/>
      <c r="T119" s="214"/>
      <c r="U119" s="218"/>
      <c r="V119" s="214"/>
      <c r="W119" s="218"/>
      <c r="X119" s="214"/>
      <c r="Y119" s="218"/>
      <c r="Z119" s="214"/>
      <c r="AA119" s="218"/>
      <c r="AB119" s="214"/>
      <c r="AC119" s="218"/>
      <c r="AD119" s="214"/>
      <c r="AE119" s="218"/>
      <c r="AF119" s="214"/>
      <c r="AG119" s="218"/>
      <c r="AH119" s="214">
        <f t="shared" si="35"/>
        <v>0</v>
      </c>
      <c r="AI119" s="218">
        <f t="shared" si="36"/>
        <v>0</v>
      </c>
      <c r="AJ119" s="220"/>
      <c r="AK119" s="220"/>
      <c r="AL119" s="220"/>
      <c r="AM119" s="220"/>
      <c r="AN119" s="220"/>
      <c r="AO119" s="220"/>
      <c r="AP119" s="220"/>
    </row>
    <row r="120" spans="1:42" ht="15.75" customHeight="1">
      <c r="A120" s="189"/>
      <c r="B120" s="304" t="s">
        <v>778</v>
      </c>
      <c r="C120" s="217" t="s">
        <v>566</v>
      </c>
      <c r="D120" s="214"/>
      <c r="E120" s="218"/>
      <c r="F120" s="214"/>
      <c r="G120" s="218"/>
      <c r="H120" s="212">
        <v>0</v>
      </c>
      <c r="I120" s="219">
        <f>H120/H$28</f>
        <v>0</v>
      </c>
      <c r="J120" s="212">
        <v>0</v>
      </c>
      <c r="K120" s="219">
        <f t="shared" si="37"/>
        <v>0</v>
      </c>
      <c r="L120" s="212">
        <v>0</v>
      </c>
      <c r="M120" s="219">
        <f t="shared" si="38"/>
        <v>0</v>
      </c>
      <c r="N120" s="214"/>
      <c r="O120" s="218"/>
      <c r="P120" s="214"/>
      <c r="Q120" s="218"/>
      <c r="R120" s="214"/>
      <c r="S120" s="218"/>
      <c r="T120" s="214"/>
      <c r="U120" s="218"/>
      <c r="V120" s="214"/>
      <c r="W120" s="218"/>
      <c r="X120" s="214"/>
      <c r="Y120" s="218"/>
      <c r="Z120" s="214"/>
      <c r="AA120" s="218"/>
      <c r="AB120" s="214"/>
      <c r="AC120" s="218"/>
      <c r="AD120" s="214"/>
      <c r="AE120" s="218"/>
      <c r="AF120" s="214"/>
      <c r="AG120" s="218"/>
      <c r="AH120" s="214">
        <f t="shared" si="35"/>
        <v>0</v>
      </c>
      <c r="AI120" s="218">
        <f t="shared" si="36"/>
        <v>0</v>
      </c>
      <c r="AJ120" s="220"/>
      <c r="AK120" s="220"/>
      <c r="AL120" s="220"/>
      <c r="AM120" s="220"/>
      <c r="AN120" s="220"/>
      <c r="AO120" s="220"/>
      <c r="AP120" s="220"/>
    </row>
    <row r="121" spans="1:42" ht="15.75" customHeight="1">
      <c r="A121" s="189"/>
      <c r="B121" s="304" t="s">
        <v>779</v>
      </c>
      <c r="C121" s="217" t="s">
        <v>360</v>
      </c>
      <c r="D121" s="214"/>
      <c r="E121" s="218"/>
      <c r="F121" s="214"/>
      <c r="G121" s="218"/>
      <c r="H121" s="212">
        <v>0</v>
      </c>
      <c r="I121" s="219">
        <f>H121/H$2</f>
        <v>0</v>
      </c>
      <c r="J121" s="212">
        <v>0</v>
      </c>
      <c r="K121" s="219">
        <f t="shared" si="37"/>
        <v>0</v>
      </c>
      <c r="L121" s="212">
        <v>0</v>
      </c>
      <c r="M121" s="219">
        <f t="shared" si="38"/>
        <v>0</v>
      </c>
      <c r="N121" s="214"/>
      <c r="O121" s="218"/>
      <c r="P121" s="214"/>
      <c r="Q121" s="218"/>
      <c r="R121" s="214"/>
      <c r="S121" s="218"/>
      <c r="T121" s="214"/>
      <c r="U121" s="218"/>
      <c r="V121" s="214"/>
      <c r="W121" s="218"/>
      <c r="X121" s="214"/>
      <c r="Y121" s="218"/>
      <c r="Z121" s="214"/>
      <c r="AA121" s="218"/>
      <c r="AB121" s="214"/>
      <c r="AC121" s="218"/>
      <c r="AD121" s="214"/>
      <c r="AE121" s="218"/>
      <c r="AF121" s="214"/>
      <c r="AG121" s="218"/>
      <c r="AH121" s="214">
        <f t="shared" si="35"/>
        <v>0</v>
      </c>
      <c r="AI121" s="218">
        <f t="shared" si="36"/>
        <v>0</v>
      </c>
      <c r="AJ121" s="220"/>
      <c r="AK121" s="220"/>
      <c r="AL121" s="220"/>
      <c r="AM121" s="220"/>
      <c r="AN121" s="220"/>
      <c r="AO121" s="220"/>
      <c r="AP121" s="220"/>
    </row>
    <row r="122" spans="1:42" ht="15.75" customHeight="1">
      <c r="A122" s="189"/>
      <c r="B122" s="190"/>
      <c r="C122" s="217" t="s">
        <v>567</v>
      </c>
      <c r="D122" s="214"/>
      <c r="E122" s="218"/>
      <c r="F122" s="214"/>
      <c r="G122" s="218"/>
      <c r="H122" s="212">
        <v>0</v>
      </c>
      <c r="I122" s="219">
        <f>H122/H$2</f>
        <v>0</v>
      </c>
      <c r="J122" s="212">
        <v>0</v>
      </c>
      <c r="K122" s="219">
        <f t="shared" si="37"/>
        <v>0</v>
      </c>
      <c r="L122" s="212">
        <v>0</v>
      </c>
      <c r="M122" s="219">
        <f t="shared" si="38"/>
        <v>0</v>
      </c>
      <c r="N122" s="214"/>
      <c r="O122" s="218"/>
      <c r="P122" s="214"/>
      <c r="Q122" s="218"/>
      <c r="R122" s="214"/>
      <c r="S122" s="218"/>
      <c r="T122" s="214"/>
      <c r="U122" s="218"/>
      <c r="V122" s="214"/>
      <c r="W122" s="218"/>
      <c r="X122" s="214"/>
      <c r="Y122" s="218"/>
      <c r="Z122" s="214"/>
      <c r="AA122" s="218"/>
      <c r="AB122" s="214"/>
      <c r="AC122" s="218"/>
      <c r="AD122" s="214"/>
      <c r="AE122" s="218"/>
      <c r="AF122" s="214"/>
      <c r="AG122" s="218"/>
      <c r="AH122" s="214">
        <f t="shared" si="35"/>
        <v>0</v>
      </c>
      <c r="AI122" s="218">
        <f t="shared" si="36"/>
        <v>0</v>
      </c>
      <c r="AJ122" s="220"/>
      <c r="AK122" s="220"/>
      <c r="AL122" s="220"/>
      <c r="AM122" s="220"/>
      <c r="AN122" s="220"/>
      <c r="AO122" s="220"/>
      <c r="AP122" s="220"/>
    </row>
    <row r="123" spans="1:42" ht="15.75" customHeight="1">
      <c r="A123" s="189"/>
      <c r="B123" s="304" t="s">
        <v>780</v>
      </c>
      <c r="C123" s="217" t="s">
        <v>164</v>
      </c>
      <c r="D123" s="214"/>
      <c r="E123" s="218"/>
      <c r="F123" s="214"/>
      <c r="G123" s="218"/>
      <c r="H123" s="212">
        <v>400</v>
      </c>
      <c r="I123" s="219">
        <v>6.9999999999999999E-4</v>
      </c>
      <c r="J123" s="212">
        <v>400</v>
      </c>
      <c r="K123" s="219">
        <f t="shared" si="37"/>
        <v>9.1567052579208331E-4</v>
      </c>
      <c r="L123" s="212">
        <v>400</v>
      </c>
      <c r="M123" s="219">
        <f t="shared" si="38"/>
        <v>8.8613276689556461E-4</v>
      </c>
      <c r="N123" s="214"/>
      <c r="O123" s="218"/>
      <c r="P123" s="214"/>
      <c r="Q123" s="218"/>
      <c r="R123" s="214"/>
      <c r="S123" s="218"/>
      <c r="T123" s="214"/>
      <c r="U123" s="218"/>
      <c r="V123" s="214"/>
      <c r="W123" s="218"/>
      <c r="X123" s="214"/>
      <c r="Y123" s="218"/>
      <c r="Z123" s="214"/>
      <c r="AA123" s="218"/>
      <c r="AB123" s="214"/>
      <c r="AC123" s="218"/>
      <c r="AD123" s="214"/>
      <c r="AE123" s="218"/>
      <c r="AF123" s="214"/>
      <c r="AG123" s="218"/>
      <c r="AH123" s="214">
        <f t="shared" si="35"/>
        <v>800</v>
      </c>
      <c r="AI123" s="218">
        <f t="shared" si="36"/>
        <v>9.0065953356598366E-4</v>
      </c>
      <c r="AJ123" s="220"/>
      <c r="AK123" s="220"/>
      <c r="AL123" s="220"/>
      <c r="AM123" s="220"/>
      <c r="AN123" s="220"/>
      <c r="AO123" s="220"/>
      <c r="AP123" s="220"/>
    </row>
    <row r="124" spans="1:42" ht="15.75" customHeight="1">
      <c r="A124" s="189"/>
      <c r="B124" s="304" t="s">
        <v>781</v>
      </c>
      <c r="C124" s="217" t="s">
        <v>166</v>
      </c>
      <c r="D124" s="214"/>
      <c r="E124" s="218"/>
      <c r="F124" s="214"/>
      <c r="G124" s="218"/>
      <c r="H124" s="212">
        <f>I124*H$28</f>
        <v>290.16000000000003</v>
      </c>
      <c r="I124" s="219">
        <v>1E-3</v>
      </c>
      <c r="J124" s="212">
        <v>400</v>
      </c>
      <c r="K124" s="219">
        <f t="shared" si="37"/>
        <v>9.1567052579208331E-4</v>
      </c>
      <c r="L124" s="212">
        <v>400</v>
      </c>
      <c r="M124" s="219">
        <f t="shared" si="38"/>
        <v>8.8613276689556461E-4</v>
      </c>
      <c r="N124" s="214"/>
      <c r="O124" s="218"/>
      <c r="P124" s="214"/>
      <c r="Q124" s="218"/>
      <c r="R124" s="214"/>
      <c r="S124" s="218"/>
      <c r="T124" s="214"/>
      <c r="U124" s="218"/>
      <c r="V124" s="214"/>
      <c r="W124" s="218"/>
      <c r="X124" s="214"/>
      <c r="Y124" s="218"/>
      <c r="Z124" s="214"/>
      <c r="AA124" s="218"/>
      <c r="AB124" s="214"/>
      <c r="AC124" s="218"/>
      <c r="AD124" s="214"/>
      <c r="AE124" s="218"/>
      <c r="AF124" s="214"/>
      <c r="AG124" s="218"/>
      <c r="AH124" s="214">
        <f t="shared" si="35"/>
        <v>800</v>
      </c>
      <c r="AI124" s="218">
        <f t="shared" si="36"/>
        <v>9.0065953356598366E-4</v>
      </c>
      <c r="AJ124" s="220"/>
      <c r="AK124" s="220"/>
      <c r="AL124" s="220"/>
      <c r="AM124" s="220"/>
      <c r="AN124" s="220"/>
      <c r="AO124" s="220"/>
      <c r="AP124" s="220"/>
    </row>
    <row r="125" spans="1:42" ht="15.75" customHeight="1">
      <c r="A125" s="189"/>
      <c r="B125" s="190" t="s">
        <v>568</v>
      </c>
      <c r="C125" s="217" t="s">
        <v>104</v>
      </c>
      <c r="D125" s="214"/>
      <c r="E125" s="218"/>
      <c r="F125" s="214"/>
      <c r="G125" s="218"/>
      <c r="H125" s="212">
        <v>0</v>
      </c>
      <c r="I125" s="219">
        <f>H125/H$28</f>
        <v>0</v>
      </c>
      <c r="J125" s="212">
        <v>0</v>
      </c>
      <c r="K125" s="219">
        <f t="shared" si="37"/>
        <v>0</v>
      </c>
      <c r="L125" s="212">
        <v>0</v>
      </c>
      <c r="M125" s="219">
        <f t="shared" si="38"/>
        <v>0</v>
      </c>
      <c r="N125" s="214"/>
      <c r="O125" s="218"/>
      <c r="P125" s="214"/>
      <c r="Q125" s="218"/>
      <c r="R125" s="214"/>
      <c r="S125" s="218"/>
      <c r="T125" s="214"/>
      <c r="U125" s="218"/>
      <c r="V125" s="214"/>
      <c r="W125" s="218"/>
      <c r="X125" s="214"/>
      <c r="Y125" s="218"/>
      <c r="Z125" s="214"/>
      <c r="AA125" s="218"/>
      <c r="AB125" s="214"/>
      <c r="AC125" s="218"/>
      <c r="AD125" s="214"/>
      <c r="AE125" s="218"/>
      <c r="AF125" s="214"/>
      <c r="AG125" s="218"/>
      <c r="AH125" s="214">
        <f t="shared" si="35"/>
        <v>0</v>
      </c>
      <c r="AI125" s="218">
        <f t="shared" si="36"/>
        <v>0</v>
      </c>
      <c r="AJ125" s="220"/>
      <c r="AK125" s="220"/>
      <c r="AL125" s="220"/>
      <c r="AM125" s="220"/>
      <c r="AN125" s="220"/>
      <c r="AO125" s="220"/>
      <c r="AP125" s="220"/>
    </row>
    <row r="126" spans="1:42" ht="15.75" customHeight="1">
      <c r="A126" s="200" t="s">
        <v>364</v>
      </c>
      <c r="B126" s="201"/>
      <c r="C126" s="248"/>
      <c r="D126" s="262"/>
      <c r="E126" s="245"/>
      <c r="F126" s="262"/>
      <c r="G126" s="245"/>
      <c r="H126" s="263">
        <f t="shared" ref="H126:M126" si="39">SUM(H112:H125)</f>
        <v>7895.972999999999</v>
      </c>
      <c r="I126" s="247">
        <f t="shared" si="39"/>
        <v>2.6831872070581745E-2</v>
      </c>
      <c r="J126" s="263">
        <f t="shared" si="39"/>
        <v>10413.125959863013</v>
      </c>
      <c r="K126" s="247">
        <f t="shared" si="39"/>
        <v>2.3837481307017395E-2</v>
      </c>
      <c r="L126" s="263">
        <f t="shared" si="39"/>
        <v>10536.896825191779</v>
      </c>
      <c r="M126" s="247">
        <f t="shared" si="39"/>
        <v>2.334272384550071E-2</v>
      </c>
      <c r="N126" s="262"/>
      <c r="O126" s="245"/>
      <c r="P126" s="262"/>
      <c r="Q126" s="245"/>
      <c r="R126" s="262"/>
      <c r="S126" s="245"/>
      <c r="T126" s="262"/>
      <c r="U126" s="245"/>
      <c r="V126" s="262"/>
      <c r="W126" s="245"/>
      <c r="X126" s="262"/>
      <c r="Y126" s="245"/>
      <c r="Z126" s="262"/>
      <c r="AA126" s="245"/>
      <c r="AB126" s="262"/>
      <c r="AC126" s="245"/>
      <c r="AD126" s="262"/>
      <c r="AE126" s="245"/>
      <c r="AF126" s="262"/>
      <c r="AG126" s="245"/>
      <c r="AH126" s="262">
        <f>SUM(AH112:AH125)</f>
        <v>20950.022785054796</v>
      </c>
      <c r="AI126" s="245">
        <f>SUM(AI112:AI125)</f>
        <v>2.3586047187230227E-2</v>
      </c>
      <c r="AJ126" s="243"/>
      <c r="AK126" s="243"/>
      <c r="AL126" s="243"/>
      <c r="AM126" s="243"/>
      <c r="AN126" s="243"/>
      <c r="AO126" s="243"/>
      <c r="AP126" s="243"/>
    </row>
    <row r="127" spans="1:42" ht="15.75" customHeight="1">
      <c r="A127" s="264" t="s">
        <v>569</v>
      </c>
      <c r="B127" s="265"/>
      <c r="C127" s="266"/>
      <c r="D127" s="267"/>
      <c r="E127" s="267"/>
      <c r="F127" s="267"/>
      <c r="G127" s="267"/>
      <c r="H127" s="268">
        <f>H140+H136</f>
        <v>11107.910718885934</v>
      </c>
      <c r="I127" s="268"/>
      <c r="J127" s="268">
        <f>J140+J136</f>
        <v>68292.215629284939</v>
      </c>
      <c r="K127" s="269"/>
      <c r="L127" s="268">
        <f>L140+L136</f>
        <v>70192.223857118515</v>
      </c>
      <c r="M127" s="269"/>
      <c r="N127" s="270"/>
      <c r="O127" s="271"/>
      <c r="P127" s="270"/>
      <c r="Q127" s="271"/>
      <c r="R127" s="270"/>
      <c r="S127" s="271"/>
      <c r="T127" s="270"/>
      <c r="U127" s="271"/>
      <c r="V127" s="270"/>
      <c r="W127" s="271"/>
      <c r="X127" s="270"/>
      <c r="Y127" s="271"/>
      <c r="Z127" s="270"/>
      <c r="AA127" s="271"/>
      <c r="AB127" s="270"/>
      <c r="AC127" s="271"/>
      <c r="AD127" s="270"/>
      <c r="AE127" s="271"/>
      <c r="AF127" s="270"/>
      <c r="AG127" s="271"/>
      <c r="AH127" s="267">
        <f>AH140+AH136</f>
        <v>138484.43948640345</v>
      </c>
      <c r="AI127" s="271"/>
      <c r="AJ127" s="243"/>
      <c r="AK127" s="243"/>
      <c r="AL127" s="243"/>
      <c r="AM127" s="243"/>
      <c r="AN127" s="243"/>
      <c r="AO127" s="243"/>
      <c r="AP127" s="243"/>
    </row>
    <row r="128" spans="1:42" ht="15.75" customHeight="1">
      <c r="A128" s="189"/>
      <c r="B128" s="190"/>
      <c r="C128" s="272"/>
      <c r="D128" s="273"/>
      <c r="E128" s="273"/>
      <c r="F128" s="273"/>
      <c r="G128" s="273"/>
      <c r="H128" s="268"/>
      <c r="I128" s="268"/>
      <c r="J128" s="274">
        <f>J140+J136</f>
        <v>68292.215629284939</v>
      </c>
      <c r="K128" s="269"/>
      <c r="L128" s="274">
        <f>L140+L136</f>
        <v>70192.223857118515</v>
      </c>
      <c r="M128" s="269"/>
      <c r="N128" s="275"/>
      <c r="O128" s="276"/>
      <c r="P128" s="275"/>
      <c r="Q128" s="276"/>
      <c r="R128" s="275"/>
      <c r="S128" s="276"/>
      <c r="T128" s="275"/>
      <c r="U128" s="276"/>
      <c r="V128" s="275"/>
      <c r="W128" s="276"/>
      <c r="X128" s="275"/>
      <c r="Y128" s="276"/>
      <c r="Z128" s="275"/>
      <c r="AA128" s="276"/>
      <c r="AB128" s="275"/>
      <c r="AC128" s="276"/>
      <c r="AD128" s="275"/>
      <c r="AE128" s="276"/>
      <c r="AF128" s="275"/>
      <c r="AG128" s="276"/>
      <c r="AH128" s="214">
        <f t="shared" ref="AH128:AH135" si="40">SUM(J128,L128,N128,P128,R128,T128,V128,X128,Z128,AB128,AD128,AF128)</f>
        <v>138484.43948640345</v>
      </c>
      <c r="AI128" s="276"/>
      <c r="AJ128" s="243">
        <f>AH128/AH28</f>
        <v>0.15590916334246352</v>
      </c>
      <c r="AK128" s="243"/>
      <c r="AL128" s="243"/>
      <c r="AM128" s="243"/>
      <c r="AN128" s="243"/>
      <c r="AO128" s="243"/>
      <c r="AP128" s="243"/>
    </row>
    <row r="129" spans="1:42" ht="15.75" customHeight="1">
      <c r="A129" s="189"/>
      <c r="B129" s="304" t="s">
        <v>782</v>
      </c>
      <c r="C129" s="217" t="s">
        <v>365</v>
      </c>
      <c r="D129" s="214"/>
      <c r="E129" s="218"/>
      <c r="F129" s="214"/>
      <c r="G129" s="218"/>
      <c r="H129" s="212">
        <v>14250</v>
      </c>
      <c r="I129" s="219">
        <f>H129/H$28</f>
        <v>4.911083540115798E-2</v>
      </c>
      <c r="J129" s="212">
        <v>14250</v>
      </c>
      <c r="K129" s="219">
        <f>J129/J$28</f>
        <v>3.262076248134297E-2</v>
      </c>
      <c r="L129" s="212">
        <v>14250</v>
      </c>
      <c r="M129" s="219">
        <f>L129/L$28</f>
        <v>3.1568479820654492E-2</v>
      </c>
      <c r="N129" s="214"/>
      <c r="O129" s="218"/>
      <c r="P129" s="214"/>
      <c r="Q129" s="218"/>
      <c r="R129" s="214"/>
      <c r="S129" s="218"/>
      <c r="T129" s="214"/>
      <c r="U129" s="218"/>
      <c r="V129" s="214"/>
      <c r="W129" s="218"/>
      <c r="X129" s="214"/>
      <c r="Y129" s="218"/>
      <c r="Z129" s="214"/>
      <c r="AA129" s="218"/>
      <c r="AB129" s="214"/>
      <c r="AC129" s="218"/>
      <c r="AD129" s="214"/>
      <c r="AE129" s="218"/>
      <c r="AF129" s="214"/>
      <c r="AG129" s="218"/>
      <c r="AH129" s="214">
        <f t="shared" si="40"/>
        <v>28500</v>
      </c>
      <c r="AI129" s="218">
        <f t="shared" ref="AI129:AI135" si="41">AH129/AH$28</f>
        <v>3.2085995883288171E-2</v>
      </c>
      <c r="AJ129" s="220"/>
      <c r="AK129" s="220"/>
      <c r="AL129" s="220"/>
      <c r="AM129" s="220"/>
      <c r="AN129" s="220"/>
      <c r="AO129" s="220"/>
      <c r="AP129" s="220"/>
    </row>
    <row r="130" spans="1:42" ht="15.75" customHeight="1">
      <c r="A130" s="189"/>
      <c r="B130" s="304" t="s">
        <v>783</v>
      </c>
      <c r="C130" s="217" t="s">
        <v>173</v>
      </c>
      <c r="D130" s="214"/>
      <c r="E130" s="218"/>
      <c r="F130" s="214"/>
      <c r="G130" s="218"/>
      <c r="H130" s="212">
        <v>8794</v>
      </c>
      <c r="I130" s="219">
        <f>H130/H$28</f>
        <v>3.0307416597739178E-2</v>
      </c>
      <c r="J130" s="212">
        <f>K130*J$28</f>
        <v>8736.7669643835616</v>
      </c>
      <c r="K130" s="219">
        <v>0.02</v>
      </c>
      <c r="L130" s="212">
        <f>M130*L$28</f>
        <v>11510.69047557534</v>
      </c>
      <c r="M130" s="219">
        <v>2.5499999999999998E-2</v>
      </c>
      <c r="N130" s="214"/>
      <c r="O130" s="218"/>
      <c r="P130" s="214"/>
      <c r="Q130" s="218"/>
      <c r="R130" s="214"/>
      <c r="S130" s="218"/>
      <c r="T130" s="214"/>
      <c r="U130" s="218"/>
      <c r="V130" s="214"/>
      <c r="W130" s="218"/>
      <c r="X130" s="214"/>
      <c r="Y130" s="218"/>
      <c r="Z130" s="214"/>
      <c r="AA130" s="218"/>
      <c r="AB130" s="214"/>
      <c r="AC130" s="218"/>
      <c r="AD130" s="214"/>
      <c r="AE130" s="218"/>
      <c r="AF130" s="214"/>
      <c r="AG130" s="218"/>
      <c r="AH130" s="214">
        <f t="shared" si="40"/>
        <v>20247.457439958904</v>
      </c>
      <c r="AI130" s="218">
        <f t="shared" si="41"/>
        <v>2.2795081967213113E-2</v>
      </c>
      <c r="AJ130" s="220"/>
      <c r="AK130" s="220"/>
      <c r="AL130" s="220"/>
      <c r="AM130" s="220"/>
      <c r="AN130" s="220"/>
      <c r="AO130" s="220"/>
      <c r="AP130" s="220"/>
    </row>
    <row r="131" spans="1:42" ht="15.75" customHeight="1">
      <c r="A131" s="189"/>
      <c r="B131" s="304" t="s">
        <v>784</v>
      </c>
      <c r="C131" s="217" t="s">
        <v>174</v>
      </c>
      <c r="D131" s="214"/>
      <c r="E131" s="218"/>
      <c r="F131" s="214"/>
      <c r="G131" s="218"/>
      <c r="H131" s="212">
        <v>2367</v>
      </c>
      <c r="I131" s="219">
        <f>H131/H$28</f>
        <v>8.1575682382133991E-3</v>
      </c>
      <c r="J131" s="212">
        <v>2300</v>
      </c>
      <c r="K131" s="219">
        <f>J131/J$28</f>
        <v>5.2651055233044796E-3</v>
      </c>
      <c r="L131" s="212">
        <v>2300</v>
      </c>
      <c r="M131" s="219">
        <f>L131/L$28</f>
        <v>5.0952634096494967E-3</v>
      </c>
      <c r="N131" s="214"/>
      <c r="O131" s="218"/>
      <c r="P131" s="214"/>
      <c r="Q131" s="218"/>
      <c r="R131" s="214"/>
      <c r="S131" s="218"/>
      <c r="T131" s="214"/>
      <c r="U131" s="218"/>
      <c r="V131" s="214"/>
      <c r="W131" s="218"/>
      <c r="X131" s="214"/>
      <c r="Y131" s="218"/>
      <c r="Z131" s="214"/>
      <c r="AA131" s="218"/>
      <c r="AB131" s="214"/>
      <c r="AC131" s="218"/>
      <c r="AD131" s="214"/>
      <c r="AE131" s="218"/>
      <c r="AF131" s="214"/>
      <c r="AG131" s="218"/>
      <c r="AH131" s="214">
        <f t="shared" si="40"/>
        <v>4600</v>
      </c>
      <c r="AI131" s="218">
        <f t="shared" si="41"/>
        <v>5.1787923180044064E-3</v>
      </c>
      <c r="AJ131" s="220"/>
      <c r="AK131" s="220"/>
      <c r="AL131" s="220"/>
      <c r="AM131" s="220"/>
      <c r="AN131" s="220"/>
      <c r="AO131" s="220"/>
      <c r="AP131" s="220"/>
    </row>
    <row r="132" spans="1:42" ht="15.75" customHeight="1">
      <c r="A132" s="189"/>
      <c r="B132" s="304" t="s">
        <v>785</v>
      </c>
      <c r="C132" s="217" t="s">
        <v>175</v>
      </c>
      <c r="D132" s="214"/>
      <c r="E132" s="218"/>
      <c r="F132" s="214"/>
      <c r="G132" s="218"/>
      <c r="H132" s="212">
        <v>3465</v>
      </c>
      <c r="I132" s="219">
        <f>H132/H$28</f>
        <v>1.1941687344913151E-2</v>
      </c>
      <c r="J132" s="212">
        <v>4000</v>
      </c>
      <c r="K132" s="219">
        <f>J132/J$28</f>
        <v>9.1567052579208334E-3</v>
      </c>
      <c r="L132" s="212">
        <v>4000</v>
      </c>
      <c r="M132" s="219">
        <f>L132/L$28</f>
        <v>8.8613276689556465E-3</v>
      </c>
      <c r="N132" s="214"/>
      <c r="O132" s="218"/>
      <c r="P132" s="214"/>
      <c r="Q132" s="218"/>
      <c r="R132" s="214"/>
      <c r="S132" s="218"/>
      <c r="T132" s="214"/>
      <c r="U132" s="218"/>
      <c r="V132" s="214"/>
      <c r="W132" s="218"/>
      <c r="X132" s="214"/>
      <c r="Y132" s="218"/>
      <c r="Z132" s="214"/>
      <c r="AA132" s="218"/>
      <c r="AB132" s="214"/>
      <c r="AC132" s="218"/>
      <c r="AD132" s="214"/>
      <c r="AE132" s="218"/>
      <c r="AF132" s="214"/>
      <c r="AG132" s="218"/>
      <c r="AH132" s="214">
        <f t="shared" si="40"/>
        <v>8000</v>
      </c>
      <c r="AI132" s="218">
        <f t="shared" si="41"/>
        <v>9.0065953356598359E-3</v>
      </c>
      <c r="AJ132" s="220"/>
      <c r="AK132" s="220"/>
      <c r="AL132" s="220"/>
      <c r="AM132" s="220"/>
      <c r="AN132" s="220"/>
      <c r="AO132" s="220"/>
      <c r="AP132" s="220"/>
    </row>
    <row r="133" spans="1:42" ht="15.75" customHeight="1">
      <c r="A133" s="189"/>
      <c r="B133" s="304" t="s">
        <v>786</v>
      </c>
      <c r="C133" s="217" t="s">
        <v>176</v>
      </c>
      <c r="D133" s="214"/>
      <c r="E133" s="218"/>
      <c r="F133" s="214"/>
      <c r="G133" s="218"/>
      <c r="H133" s="212">
        <v>1556</v>
      </c>
      <c r="I133" s="219">
        <f>H133/H$28</f>
        <v>5.3625585883650398E-3</v>
      </c>
      <c r="J133" s="212">
        <v>0</v>
      </c>
      <c r="K133" s="219">
        <v>0</v>
      </c>
      <c r="L133" s="212">
        <v>0</v>
      </c>
      <c r="M133" s="219">
        <v>0</v>
      </c>
      <c r="N133" s="214"/>
      <c r="O133" s="218"/>
      <c r="P133" s="214"/>
      <c r="Q133" s="218"/>
      <c r="R133" s="214"/>
      <c r="S133" s="218"/>
      <c r="T133" s="214"/>
      <c r="U133" s="218"/>
      <c r="V133" s="214"/>
      <c r="W133" s="218"/>
      <c r="X133" s="214"/>
      <c r="Y133" s="218"/>
      <c r="Z133" s="214"/>
      <c r="AA133" s="218"/>
      <c r="AB133" s="214"/>
      <c r="AC133" s="218"/>
      <c r="AD133" s="214"/>
      <c r="AE133" s="218"/>
      <c r="AF133" s="214"/>
      <c r="AG133" s="218"/>
      <c r="AH133" s="214">
        <f t="shared" si="40"/>
        <v>0</v>
      </c>
      <c r="AI133" s="218">
        <f t="shared" si="41"/>
        <v>0</v>
      </c>
      <c r="AJ133" s="220"/>
      <c r="AK133" s="220"/>
      <c r="AL133" s="220"/>
      <c r="AM133" s="220"/>
      <c r="AN133" s="220"/>
      <c r="AO133" s="220"/>
      <c r="AP133" s="220"/>
    </row>
    <row r="134" spans="1:42" ht="15.75" customHeight="1">
      <c r="A134" s="189"/>
      <c r="B134" s="304" t="s">
        <v>787</v>
      </c>
      <c r="C134" s="217" t="s">
        <v>168</v>
      </c>
      <c r="D134" s="214"/>
      <c r="E134" s="221"/>
      <c r="F134" s="214"/>
      <c r="G134" s="221"/>
      <c r="H134" s="212">
        <f>I134*H$28</f>
        <v>2176.1999999999998</v>
      </c>
      <c r="I134" s="219">
        <v>7.4999999999999997E-3</v>
      </c>
      <c r="J134" s="212">
        <v>8000</v>
      </c>
      <c r="K134" s="219">
        <f>J134/J$28</f>
        <v>1.8313410515841667E-2</v>
      </c>
      <c r="L134" s="212">
        <v>8000</v>
      </c>
      <c r="M134" s="219">
        <f>L134/L$28</f>
        <v>1.7722655337911293E-2</v>
      </c>
      <c r="N134" s="214"/>
      <c r="O134" s="218"/>
      <c r="P134" s="214"/>
      <c r="Q134" s="218"/>
      <c r="R134" s="214"/>
      <c r="S134" s="218"/>
      <c r="T134" s="214"/>
      <c r="U134" s="218"/>
      <c r="V134" s="214"/>
      <c r="W134" s="218"/>
      <c r="X134" s="214"/>
      <c r="Y134" s="218"/>
      <c r="Z134" s="214"/>
      <c r="AA134" s="218"/>
      <c r="AB134" s="214"/>
      <c r="AC134" s="218"/>
      <c r="AD134" s="214"/>
      <c r="AE134" s="218"/>
      <c r="AF134" s="214"/>
      <c r="AG134" s="218"/>
      <c r="AH134" s="214">
        <f t="shared" si="40"/>
        <v>16000</v>
      </c>
      <c r="AI134" s="218">
        <f t="shared" si="41"/>
        <v>1.8013190671319672E-2</v>
      </c>
      <c r="AJ134" s="220"/>
      <c r="AK134" s="220"/>
      <c r="AL134" s="220"/>
      <c r="AM134" s="220"/>
      <c r="AN134" s="220"/>
      <c r="AO134" s="220"/>
      <c r="AP134" s="220"/>
    </row>
    <row r="135" spans="1:42" ht="15.75" customHeight="1">
      <c r="A135" s="189"/>
      <c r="B135" s="304" t="s">
        <v>571</v>
      </c>
      <c r="C135" s="217" t="s">
        <v>366</v>
      </c>
      <c r="D135" s="214"/>
      <c r="E135" s="218"/>
      <c r="F135" s="214"/>
      <c r="G135" s="218"/>
      <c r="H135" s="212">
        <v>7200</v>
      </c>
      <c r="I135" s="219">
        <f>H135/H$28</f>
        <v>2.4813895781637719E-2</v>
      </c>
      <c r="J135" s="212">
        <v>7500</v>
      </c>
      <c r="K135" s="219">
        <f>J135/J$28</f>
        <v>1.7168822358601562E-2</v>
      </c>
      <c r="L135" s="212">
        <v>8000</v>
      </c>
      <c r="M135" s="219">
        <f>L135/L$28</f>
        <v>1.7722655337911293E-2</v>
      </c>
      <c r="N135" s="214"/>
      <c r="O135" s="218"/>
      <c r="P135" s="214"/>
      <c r="Q135" s="218"/>
      <c r="R135" s="214"/>
      <c r="S135" s="218"/>
      <c r="T135" s="214"/>
      <c r="U135" s="218"/>
      <c r="V135" s="214"/>
      <c r="W135" s="218"/>
      <c r="X135" s="214"/>
      <c r="Y135" s="218"/>
      <c r="Z135" s="214"/>
      <c r="AA135" s="218"/>
      <c r="AB135" s="214"/>
      <c r="AC135" s="218"/>
      <c r="AD135" s="214"/>
      <c r="AE135" s="218"/>
      <c r="AF135" s="214"/>
      <c r="AG135" s="218"/>
      <c r="AH135" s="214">
        <f t="shared" si="40"/>
        <v>15500</v>
      </c>
      <c r="AI135" s="218">
        <f t="shared" si="41"/>
        <v>1.7450278462840932E-2</v>
      </c>
      <c r="AJ135" s="220"/>
      <c r="AK135" s="220"/>
      <c r="AL135" s="220"/>
      <c r="AM135" s="220"/>
      <c r="AN135" s="220"/>
      <c r="AO135" s="220"/>
      <c r="AP135" s="220"/>
    </row>
    <row r="136" spans="1:42" ht="15.75" customHeight="1">
      <c r="A136" s="200" t="s">
        <v>4</v>
      </c>
      <c r="B136" s="201"/>
      <c r="C136" s="248"/>
      <c r="D136" s="262"/>
      <c r="E136" s="245"/>
      <c r="F136" s="262"/>
      <c r="G136" s="245"/>
      <c r="H136" s="263">
        <f t="shared" ref="H136:M136" si="42">SUM(H129:H135)</f>
        <v>39808.199999999997</v>
      </c>
      <c r="I136" s="247">
        <f t="shared" si="42"/>
        <v>0.13719396195202646</v>
      </c>
      <c r="J136" s="263">
        <f t="shared" si="42"/>
        <v>44786.766964383562</v>
      </c>
      <c r="K136" s="247">
        <f t="shared" si="42"/>
        <v>0.10252480613701151</v>
      </c>
      <c r="L136" s="263">
        <f t="shared" si="42"/>
        <v>48060.690475575342</v>
      </c>
      <c r="M136" s="247">
        <f t="shared" si="42"/>
        <v>0.10647038157508221</v>
      </c>
      <c r="N136" s="262"/>
      <c r="O136" s="245"/>
      <c r="P136" s="262"/>
      <c r="Q136" s="245"/>
      <c r="R136" s="262"/>
      <c r="S136" s="245"/>
      <c r="T136" s="262"/>
      <c r="U136" s="245"/>
      <c r="V136" s="262"/>
      <c r="W136" s="245"/>
      <c r="X136" s="262"/>
      <c r="Y136" s="245"/>
      <c r="Z136" s="262"/>
      <c r="AA136" s="245"/>
      <c r="AB136" s="262"/>
      <c r="AC136" s="245"/>
      <c r="AD136" s="262"/>
      <c r="AE136" s="245"/>
      <c r="AF136" s="262"/>
      <c r="AG136" s="245"/>
      <c r="AH136" s="262">
        <f>SUM(AH129:AH135)</f>
        <v>92847.457439958904</v>
      </c>
      <c r="AI136" s="245">
        <f>SUM(AI129:AI135)</f>
        <v>0.10452993463832612</v>
      </c>
      <c r="AJ136" s="243"/>
      <c r="AK136" s="243"/>
      <c r="AL136" s="243"/>
      <c r="AM136" s="243"/>
      <c r="AN136" s="243"/>
      <c r="AO136" s="243"/>
      <c r="AP136" s="243"/>
    </row>
    <row r="137" spans="1:42" ht="15.75" customHeight="1">
      <c r="A137" s="189"/>
      <c r="B137" s="190"/>
      <c r="C137" s="217"/>
      <c r="D137" s="277"/>
      <c r="E137" s="277"/>
      <c r="F137" s="277"/>
      <c r="G137" s="277"/>
      <c r="H137" s="278"/>
      <c r="I137" s="278"/>
      <c r="J137" s="279"/>
      <c r="K137" s="280"/>
      <c r="L137" s="279"/>
      <c r="M137" s="280"/>
      <c r="N137" s="281"/>
      <c r="O137" s="282"/>
      <c r="P137" s="281"/>
      <c r="Q137" s="282"/>
      <c r="R137" s="281"/>
      <c r="S137" s="282"/>
      <c r="T137" s="281"/>
      <c r="U137" s="282"/>
      <c r="V137" s="281"/>
      <c r="W137" s="282"/>
      <c r="X137" s="281"/>
      <c r="Y137" s="282"/>
      <c r="Z137" s="281"/>
      <c r="AA137" s="282"/>
      <c r="AB137" s="281"/>
      <c r="AC137" s="282"/>
      <c r="AD137" s="281"/>
      <c r="AE137" s="282"/>
      <c r="AF137" s="281"/>
      <c r="AG137" s="282"/>
      <c r="AH137" s="281"/>
      <c r="AI137" s="282"/>
      <c r="AJ137" s="283"/>
      <c r="AK137" s="283"/>
      <c r="AL137" s="283"/>
      <c r="AM137" s="283"/>
      <c r="AN137" s="283"/>
      <c r="AO137" s="283"/>
      <c r="AP137" s="283"/>
    </row>
    <row r="138" spans="1:42" ht="15.75" customHeight="1">
      <c r="A138" s="200" t="s">
        <v>178</v>
      </c>
      <c r="B138" s="201"/>
      <c r="C138" s="248"/>
      <c r="D138" s="262"/>
      <c r="E138" s="245"/>
      <c r="F138" s="262"/>
      <c r="G138" s="245"/>
      <c r="H138" s="263">
        <f>H63+H70+H79+H84+H88+H107+H111+H126+H136</f>
        <v>255385.33408111404</v>
      </c>
      <c r="I138" s="247">
        <f>H138/H28</f>
        <v>0.88015348111770764</v>
      </c>
      <c r="J138" s="263">
        <f>J63+J70+J79+J84+J88+J107+J111+J126+J136</f>
        <v>317496.24485351588</v>
      </c>
      <c r="K138" s="247">
        <f>J138/J28</f>
        <v>0.72680488365507734</v>
      </c>
      <c r="L138" s="263">
        <f>L63+L70+L79+L84+L88+L107+L111+L126+L136</f>
        <v>330365.98354733171</v>
      </c>
      <c r="M138" s="247">
        <f>L138/L28</f>
        <v>0.731870307722429</v>
      </c>
      <c r="N138" s="262"/>
      <c r="O138" s="245"/>
      <c r="P138" s="262"/>
      <c r="Q138" s="245"/>
      <c r="R138" s="262"/>
      <c r="S138" s="245"/>
      <c r="T138" s="262"/>
      <c r="U138" s="245"/>
      <c r="V138" s="262"/>
      <c r="W138" s="245"/>
      <c r="X138" s="262"/>
      <c r="Y138" s="245"/>
      <c r="Z138" s="262"/>
      <c r="AA138" s="245"/>
      <c r="AB138" s="262"/>
      <c r="AC138" s="245"/>
      <c r="AD138" s="262"/>
      <c r="AE138" s="245"/>
      <c r="AF138" s="262"/>
      <c r="AG138" s="245"/>
      <c r="AH138" s="262">
        <f>AH63+AH70+AH79+AH84+AH88+AH107+AH111+AH126+AH136</f>
        <v>647862.22840084753</v>
      </c>
      <c r="AI138" s="245">
        <f>AH138/AH28</f>
        <v>0.7293791155581576</v>
      </c>
      <c r="AJ138" s="243"/>
      <c r="AK138" s="243"/>
      <c r="AL138" s="243"/>
      <c r="AM138" s="243"/>
      <c r="AN138" s="243"/>
      <c r="AO138" s="243"/>
      <c r="AP138" s="243"/>
    </row>
    <row r="139" spans="1:42" ht="15.75" customHeight="1">
      <c r="A139" s="189"/>
      <c r="B139" s="190"/>
      <c r="C139" s="217"/>
      <c r="D139" s="210"/>
      <c r="E139" s="210"/>
      <c r="F139" s="210"/>
      <c r="G139" s="210"/>
      <c r="H139" s="211"/>
      <c r="I139" s="211"/>
      <c r="J139" s="212"/>
      <c r="K139" s="219"/>
      <c r="L139" s="212"/>
      <c r="M139" s="219"/>
      <c r="N139" s="214"/>
      <c r="O139" s="218"/>
      <c r="P139" s="214"/>
      <c r="Q139" s="218"/>
      <c r="R139" s="214"/>
      <c r="S139" s="218"/>
      <c r="T139" s="214"/>
      <c r="U139" s="218"/>
      <c r="V139" s="214"/>
      <c r="W139" s="218"/>
      <c r="X139" s="214"/>
      <c r="Y139" s="218"/>
      <c r="Z139" s="214"/>
      <c r="AA139" s="218"/>
      <c r="AB139" s="214"/>
      <c r="AC139" s="218"/>
      <c r="AD139" s="214"/>
      <c r="AE139" s="218"/>
      <c r="AF139" s="214"/>
      <c r="AG139" s="218"/>
      <c r="AH139" s="214"/>
      <c r="AI139" s="218"/>
      <c r="AJ139" s="220"/>
      <c r="AK139" s="220"/>
      <c r="AL139" s="220"/>
      <c r="AM139" s="220"/>
      <c r="AN139" s="220"/>
      <c r="AO139" s="220"/>
      <c r="AP139" s="220"/>
    </row>
    <row r="140" spans="1:42" ht="15.75" customHeight="1">
      <c r="A140" s="200" t="s">
        <v>570</v>
      </c>
      <c r="B140" s="201"/>
      <c r="C140" s="248"/>
      <c r="D140" s="262"/>
      <c r="E140" s="245"/>
      <c r="F140" s="262"/>
      <c r="G140" s="245"/>
      <c r="H140" s="263">
        <f>H52-H138</f>
        <v>-28700.289281114063</v>
      </c>
      <c r="I140" s="247">
        <f>H140/H28</f>
        <v>-9.8911942656169233E-2</v>
      </c>
      <c r="J140" s="263">
        <f>J52-J138</f>
        <v>23505.448664901371</v>
      </c>
      <c r="K140" s="247">
        <f>J140/J28</f>
        <v>5.3808116344922656E-2</v>
      </c>
      <c r="L140" s="263">
        <f>L52-L138</f>
        <v>22131.53338154318</v>
      </c>
      <c r="M140" s="247">
        <f>L140/L28</f>
        <v>4.9028692277571027E-2</v>
      </c>
      <c r="N140" s="262"/>
      <c r="O140" s="245"/>
      <c r="P140" s="262"/>
      <c r="Q140" s="245"/>
      <c r="R140" s="262"/>
      <c r="S140" s="245"/>
      <c r="T140" s="262"/>
      <c r="U140" s="245"/>
      <c r="V140" s="262"/>
      <c r="W140" s="245"/>
      <c r="X140" s="262"/>
      <c r="Y140" s="245"/>
      <c r="Z140" s="262"/>
      <c r="AA140" s="245"/>
      <c r="AB140" s="262"/>
      <c r="AC140" s="245"/>
      <c r="AD140" s="262"/>
      <c r="AE140" s="245"/>
      <c r="AF140" s="262"/>
      <c r="AG140" s="245"/>
      <c r="AH140" s="262">
        <f>AH52-AH138</f>
        <v>45636.982046444551</v>
      </c>
      <c r="AI140" s="245">
        <f>AH140/AH28</f>
        <v>5.13792287041374E-2</v>
      </c>
      <c r="AJ140" s="243"/>
      <c r="AK140" s="243"/>
      <c r="AL140" s="243"/>
      <c r="AM140" s="243"/>
      <c r="AN140" s="243"/>
      <c r="AO140" s="243"/>
      <c r="AP140" s="243"/>
    </row>
    <row r="141" spans="1:42" ht="15.75" customHeight="1">
      <c r="A141" s="189"/>
      <c r="B141" s="190"/>
      <c r="C141" s="217" t="s">
        <v>181</v>
      </c>
      <c r="D141" s="214"/>
      <c r="E141" s="218"/>
      <c r="F141" s="214"/>
      <c r="G141" s="218"/>
      <c r="H141" s="212"/>
      <c r="I141" s="219">
        <f>H141/H$28</f>
        <v>0</v>
      </c>
      <c r="J141" s="212"/>
      <c r="K141" s="219">
        <f>J141/J$28</f>
        <v>0</v>
      </c>
      <c r="L141" s="212"/>
      <c r="M141" s="219">
        <f>L141/L$28</f>
        <v>0</v>
      </c>
      <c r="N141" s="214"/>
      <c r="O141" s="218"/>
      <c r="P141" s="214"/>
      <c r="Q141" s="218"/>
      <c r="R141" s="214"/>
      <c r="S141" s="218"/>
      <c r="T141" s="214"/>
      <c r="U141" s="218"/>
      <c r="V141" s="214"/>
      <c r="W141" s="218"/>
      <c r="X141" s="214"/>
      <c r="Y141" s="218"/>
      <c r="Z141" s="214"/>
      <c r="AA141" s="218"/>
      <c r="AB141" s="214"/>
      <c r="AC141" s="218"/>
      <c r="AD141" s="214"/>
      <c r="AE141" s="218"/>
      <c r="AF141" s="214"/>
      <c r="AG141" s="218"/>
      <c r="AH141" s="214">
        <f>SUM(J141,L141,N141,P141,R141,T141,V141,X141,Z141,AB141,AD141,AF141)</f>
        <v>0</v>
      </c>
      <c r="AI141" s="218">
        <f>AH141/AH$28</f>
        <v>0</v>
      </c>
      <c r="AJ141" s="220"/>
      <c r="AK141" s="220"/>
      <c r="AL141" s="220"/>
      <c r="AM141" s="220"/>
      <c r="AN141" s="220"/>
      <c r="AO141" s="220"/>
      <c r="AP141" s="220"/>
    </row>
    <row r="142" spans="1:42" ht="15.75" customHeight="1">
      <c r="A142" s="189"/>
      <c r="B142" s="304" t="s">
        <v>788</v>
      </c>
      <c r="C142" s="217" t="s">
        <v>367</v>
      </c>
      <c r="D142" s="214"/>
      <c r="E142" s="218"/>
      <c r="F142" s="214"/>
      <c r="G142" s="218"/>
      <c r="H142" s="212">
        <f>I142*H28</f>
        <v>11606.4</v>
      </c>
      <c r="I142" s="219">
        <v>0.04</v>
      </c>
      <c r="J142" s="212">
        <f>K142*J28</f>
        <v>17473.533928767123</v>
      </c>
      <c r="K142" s="219">
        <v>0.04</v>
      </c>
      <c r="L142" s="212">
        <f>M142*L28</f>
        <v>18055.985059726027</v>
      </c>
      <c r="M142" s="219">
        <v>0.04</v>
      </c>
      <c r="N142" s="214"/>
      <c r="O142" s="218"/>
      <c r="P142" s="214"/>
      <c r="Q142" s="218"/>
      <c r="R142" s="285"/>
      <c r="S142" s="286"/>
      <c r="T142" s="285"/>
      <c r="U142" s="286"/>
      <c r="V142" s="285"/>
      <c r="W142" s="286"/>
      <c r="X142" s="285"/>
      <c r="Y142" s="286"/>
      <c r="Z142" s="285"/>
      <c r="AA142" s="286"/>
      <c r="AB142" s="285"/>
      <c r="AC142" s="286"/>
      <c r="AD142" s="285"/>
      <c r="AE142" s="286"/>
      <c r="AF142" s="285"/>
      <c r="AG142" s="286"/>
      <c r="AH142" s="214">
        <f>SUM(J142,L142,N142,P142,R142,T142,V142,X142,Z142,AB142,AD142,AF142)</f>
        <v>35529.518988493146</v>
      </c>
      <c r="AI142" s="218">
        <f>AH142/AH$28</f>
        <v>3.9999999999999994E-2</v>
      </c>
      <c r="AJ142" s="220"/>
      <c r="AK142" s="220"/>
      <c r="AL142" s="220"/>
      <c r="AM142" s="220"/>
      <c r="AN142" s="220"/>
      <c r="AO142" s="220"/>
      <c r="AP142" s="220"/>
    </row>
    <row r="143" spans="1:42" ht="15.75" customHeight="1">
      <c r="A143" s="189"/>
      <c r="B143" s="190"/>
      <c r="C143" s="217" t="s">
        <v>572</v>
      </c>
      <c r="D143" s="214"/>
      <c r="E143" s="218"/>
      <c r="F143" s="214"/>
      <c r="G143" s="218"/>
      <c r="H143" s="212"/>
      <c r="I143" s="219">
        <v>0.09</v>
      </c>
      <c r="J143" s="212"/>
      <c r="K143" s="219">
        <v>0.09</v>
      </c>
      <c r="L143" s="212"/>
      <c r="M143" s="219">
        <v>0.09</v>
      </c>
      <c r="N143" s="214"/>
      <c r="O143" s="218"/>
      <c r="P143" s="214"/>
      <c r="Q143" s="218"/>
      <c r="R143" s="214"/>
      <c r="S143" s="218"/>
      <c r="T143" s="214"/>
      <c r="U143" s="218"/>
      <c r="V143" s="214"/>
      <c r="W143" s="218"/>
      <c r="X143" s="214"/>
      <c r="Y143" s="218"/>
      <c r="Z143" s="214"/>
      <c r="AA143" s="218"/>
      <c r="AB143" s="214"/>
      <c r="AC143" s="218"/>
      <c r="AD143" s="214"/>
      <c r="AE143" s="218"/>
      <c r="AF143" s="214"/>
      <c r="AG143" s="218"/>
      <c r="AH143" s="214">
        <f>SUM(J143,L143,N143,P143,R143,T143,V143,X143,Z143,AB143,AD143,AF143)</f>
        <v>0</v>
      </c>
      <c r="AI143" s="218">
        <f>AH143/AH$28</f>
        <v>0</v>
      </c>
      <c r="AJ143" s="220"/>
      <c r="AK143" s="220"/>
      <c r="AL143" s="220"/>
      <c r="AM143" s="220"/>
      <c r="AN143" s="220"/>
      <c r="AO143" s="220"/>
      <c r="AP143" s="220"/>
    </row>
    <row r="144" spans="1:42" ht="15.75" customHeight="1">
      <c r="A144" s="189"/>
      <c r="B144" s="190" t="s">
        <v>573</v>
      </c>
      <c r="C144" s="217" t="s">
        <v>574</v>
      </c>
      <c r="D144" s="214"/>
      <c r="E144" s="218"/>
      <c r="F144" s="214"/>
      <c r="G144" s="218"/>
      <c r="H144" s="212"/>
      <c r="I144" s="219">
        <f>H144/H$28</f>
        <v>0</v>
      </c>
      <c r="J144" s="212"/>
      <c r="K144" s="219">
        <f>J144/J$28</f>
        <v>0</v>
      </c>
      <c r="L144" s="212"/>
      <c r="M144" s="219">
        <f>L144/L$28</f>
        <v>0</v>
      </c>
      <c r="N144" s="214"/>
      <c r="O144" s="218"/>
      <c r="P144" s="214"/>
      <c r="Q144" s="218"/>
      <c r="R144" s="214"/>
      <c r="S144" s="218"/>
      <c r="T144" s="214"/>
      <c r="U144" s="218"/>
      <c r="V144" s="214"/>
      <c r="W144" s="218"/>
      <c r="X144" s="214"/>
      <c r="Y144" s="218"/>
      <c r="Z144" s="214"/>
      <c r="AA144" s="218"/>
      <c r="AB144" s="214"/>
      <c r="AC144" s="218"/>
      <c r="AD144" s="214"/>
      <c r="AE144" s="218"/>
      <c r="AF144" s="214"/>
      <c r="AG144" s="218"/>
      <c r="AH144" s="214">
        <f>SUM(J144,L144,N144,P144,R144,T144,V144,X144,Z144,AB144,AD144,AF144)</f>
        <v>0</v>
      </c>
      <c r="AI144" s="218">
        <f>AH144/AH$28</f>
        <v>0</v>
      </c>
      <c r="AJ144" s="220"/>
      <c r="AK144" s="220"/>
      <c r="AL144" s="220"/>
      <c r="AM144" s="220"/>
      <c r="AN144" s="220"/>
      <c r="AO144" s="220"/>
      <c r="AP144" s="220"/>
    </row>
    <row r="145" spans="1:42" ht="15.75" customHeight="1">
      <c r="A145" s="258" t="s">
        <v>575</v>
      </c>
      <c r="B145" s="259"/>
      <c r="C145" s="287"/>
      <c r="D145" s="262"/>
      <c r="E145" s="245"/>
      <c r="F145" s="262"/>
      <c r="G145" s="245"/>
      <c r="H145" s="263">
        <f>H140-SUM(H141:H144)</f>
        <v>-40306.689281114064</v>
      </c>
      <c r="I145" s="247">
        <f>H145/H28</f>
        <v>-0.13891194265616924</v>
      </c>
      <c r="J145" s="263">
        <f>J140-SUM(J141:J144)</f>
        <v>6031.9147361342475</v>
      </c>
      <c r="K145" s="247">
        <f>J145/J28</f>
        <v>1.3808116344922655E-2</v>
      </c>
      <c r="L145" s="263">
        <f>L140-SUM(L141:L144)</f>
        <v>4075.5483218171539</v>
      </c>
      <c r="M145" s="247">
        <f>L145/L28</f>
        <v>9.0286922775710231E-3</v>
      </c>
      <c r="N145" s="262"/>
      <c r="O145" s="245"/>
      <c r="P145" s="262"/>
      <c r="Q145" s="245"/>
      <c r="R145" s="262"/>
      <c r="S145" s="245"/>
      <c r="T145" s="262"/>
      <c r="U145" s="245"/>
      <c r="V145" s="262"/>
      <c r="W145" s="245"/>
      <c r="X145" s="262"/>
      <c r="Y145" s="245"/>
      <c r="Z145" s="262"/>
      <c r="AA145" s="245"/>
      <c r="AB145" s="262"/>
      <c r="AC145" s="245"/>
      <c r="AD145" s="262"/>
      <c r="AE145" s="245"/>
      <c r="AF145" s="262"/>
      <c r="AG145" s="245"/>
      <c r="AH145" s="262">
        <f>AH140-SUM(AH141:AH144)</f>
        <v>10107.463057951405</v>
      </c>
      <c r="AI145" s="245">
        <f>AH145/AH28</f>
        <v>1.1379228704137405E-2</v>
      </c>
      <c r="AJ145" s="243"/>
      <c r="AK145" s="243"/>
      <c r="AL145" s="243"/>
      <c r="AM145" s="243"/>
      <c r="AN145" s="243"/>
      <c r="AO145" s="243"/>
      <c r="AP145" s="243"/>
    </row>
    <row r="146" spans="1:42" ht="15.75" customHeight="1">
      <c r="A146" s="189"/>
      <c r="B146" s="190"/>
      <c r="C146" s="217" t="s">
        <v>576</v>
      </c>
      <c r="D146" s="214"/>
      <c r="E146" s="218"/>
      <c r="F146" s="214"/>
      <c r="G146" s="218"/>
      <c r="H146" s="212">
        <v>0</v>
      </c>
      <c r="I146" s="219">
        <f>H146/H$28</f>
        <v>0</v>
      </c>
      <c r="J146" s="212">
        <v>0</v>
      </c>
      <c r="K146" s="219">
        <f>J146/J$28</f>
        <v>0</v>
      </c>
      <c r="L146" s="212">
        <v>0</v>
      </c>
      <c r="M146" s="219">
        <f>L146/L$28</f>
        <v>0</v>
      </c>
      <c r="N146" s="214"/>
      <c r="O146" s="218"/>
      <c r="P146" s="214"/>
      <c r="Q146" s="218"/>
      <c r="R146" s="214"/>
      <c r="S146" s="218"/>
      <c r="T146" s="214"/>
      <c r="U146" s="218"/>
      <c r="V146" s="214"/>
      <c r="W146" s="218"/>
      <c r="X146" s="214"/>
      <c r="Y146" s="218"/>
      <c r="Z146" s="214"/>
      <c r="AA146" s="218"/>
      <c r="AB146" s="214"/>
      <c r="AC146" s="218"/>
      <c r="AD146" s="214"/>
      <c r="AE146" s="218"/>
      <c r="AF146" s="214"/>
      <c r="AG146" s="218"/>
      <c r="AH146" s="214">
        <f>SUM(J146,L146,N146,P146,R146,T146,V146,X146,Z146,AB146,AD146,AF146)</f>
        <v>0</v>
      </c>
      <c r="AI146" s="218">
        <f>AH146/AH$28</f>
        <v>0</v>
      </c>
      <c r="AJ146" s="220"/>
      <c r="AK146" s="220"/>
      <c r="AL146" s="220"/>
      <c r="AM146" s="220"/>
      <c r="AN146" s="220"/>
      <c r="AO146" s="220"/>
      <c r="AP146" s="220"/>
    </row>
    <row r="147" spans="1:42" ht="15.75" customHeight="1">
      <c r="A147" s="189"/>
      <c r="B147" s="190"/>
      <c r="C147" s="217" t="s">
        <v>577</v>
      </c>
      <c r="D147" s="214"/>
      <c r="E147" s="218"/>
      <c r="F147" s="214"/>
      <c r="G147" s="218"/>
      <c r="H147" s="212">
        <v>0</v>
      </c>
      <c r="I147" s="219">
        <f>H147/H$28</f>
        <v>0</v>
      </c>
      <c r="J147" s="212">
        <v>0</v>
      </c>
      <c r="K147" s="219">
        <f>J147/J$28</f>
        <v>0</v>
      </c>
      <c r="L147" s="212">
        <v>0</v>
      </c>
      <c r="M147" s="219">
        <f>L147/L$28</f>
        <v>0</v>
      </c>
      <c r="N147" s="214"/>
      <c r="O147" s="218"/>
      <c r="P147" s="214"/>
      <c r="Q147" s="218"/>
      <c r="R147" s="214"/>
      <c r="S147" s="218"/>
      <c r="T147" s="214"/>
      <c r="U147" s="218"/>
      <c r="V147" s="214"/>
      <c r="W147" s="218"/>
      <c r="X147" s="214"/>
      <c r="Y147" s="218"/>
      <c r="Z147" s="214"/>
      <c r="AA147" s="218"/>
      <c r="AB147" s="214"/>
      <c r="AC147" s="218"/>
      <c r="AD147" s="214"/>
      <c r="AE147" s="218"/>
      <c r="AF147" s="214"/>
      <c r="AG147" s="218"/>
      <c r="AH147" s="214">
        <f>SUM(J147,L147,N147,P147,R147,T147,V147,X147,Z147,AB147,AD147,AF147)</f>
        <v>0</v>
      </c>
      <c r="AI147" s="218">
        <f>AH147/AH$28</f>
        <v>0</v>
      </c>
      <c r="AJ147" s="220"/>
      <c r="AK147" s="220"/>
      <c r="AL147" s="220"/>
      <c r="AM147" s="220"/>
      <c r="AN147" s="220"/>
      <c r="AO147" s="220"/>
      <c r="AP147" s="220"/>
    </row>
    <row r="148" spans="1:42" ht="15.75" customHeight="1">
      <c r="A148" s="189"/>
      <c r="B148" s="190" t="s">
        <v>789</v>
      </c>
      <c r="C148" s="217" t="s">
        <v>578</v>
      </c>
      <c r="D148" s="214"/>
      <c r="E148" s="218"/>
      <c r="F148" s="214"/>
      <c r="G148" s="218"/>
      <c r="H148" s="212">
        <v>0</v>
      </c>
      <c r="I148" s="219">
        <f>H148/H$28</f>
        <v>0</v>
      </c>
      <c r="J148" s="212">
        <v>0</v>
      </c>
      <c r="K148" s="219">
        <f>J148/J$28</f>
        <v>0</v>
      </c>
      <c r="L148" s="212">
        <v>0</v>
      </c>
      <c r="M148" s="219">
        <f>L148/L$28</f>
        <v>0</v>
      </c>
      <c r="N148" s="214"/>
      <c r="O148" s="218"/>
      <c r="P148" s="214"/>
      <c r="Q148" s="218"/>
      <c r="R148" s="214"/>
      <c r="S148" s="218"/>
      <c r="T148" s="214"/>
      <c r="U148" s="218"/>
      <c r="V148" s="214"/>
      <c r="W148" s="218"/>
      <c r="X148" s="214"/>
      <c r="Y148" s="218"/>
      <c r="Z148" s="214"/>
      <c r="AA148" s="218"/>
      <c r="AB148" s="214"/>
      <c r="AC148" s="218"/>
      <c r="AD148" s="214"/>
      <c r="AE148" s="218"/>
      <c r="AF148" s="214"/>
      <c r="AG148" s="218"/>
      <c r="AH148" s="214">
        <f>SUM(J148,L148,N148,P148,R148,T148,V148,X148,Z148,AB148,AD148,AF148)</f>
        <v>0</v>
      </c>
      <c r="AI148" s="218">
        <f>AH148/AH$28</f>
        <v>0</v>
      </c>
      <c r="AJ148" s="220"/>
      <c r="AK148" s="220"/>
      <c r="AL148" s="220"/>
      <c r="AM148" s="220"/>
      <c r="AN148" s="220"/>
      <c r="AO148" s="220"/>
      <c r="AP148" s="220"/>
    </row>
    <row r="149" spans="1:42" ht="15.75" customHeight="1">
      <c r="A149" s="189"/>
      <c r="B149" s="190" t="s">
        <v>579</v>
      </c>
      <c r="C149" s="217" t="s">
        <v>184</v>
      </c>
      <c r="D149" s="214"/>
      <c r="E149" s="218"/>
      <c r="F149" s="214"/>
      <c r="G149" s="218"/>
      <c r="H149" s="212"/>
      <c r="I149" s="219">
        <f>H149/H$28</f>
        <v>0</v>
      </c>
      <c r="J149" s="212"/>
      <c r="K149" s="219">
        <f>J149/J$28</f>
        <v>0</v>
      </c>
      <c r="L149" s="212"/>
      <c r="M149" s="219">
        <f>L149/L$28</f>
        <v>0</v>
      </c>
      <c r="N149" s="214"/>
      <c r="O149" s="218"/>
      <c r="P149" s="214"/>
      <c r="Q149" s="218"/>
      <c r="R149" s="214"/>
      <c r="S149" s="218"/>
      <c r="T149" s="214"/>
      <c r="U149" s="218"/>
      <c r="V149" s="214"/>
      <c r="W149" s="218"/>
      <c r="X149" s="214"/>
      <c r="Y149" s="218"/>
      <c r="Z149" s="214"/>
      <c r="AA149" s="218"/>
      <c r="AB149" s="214"/>
      <c r="AC149" s="218"/>
      <c r="AD149" s="214"/>
      <c r="AE149" s="218"/>
      <c r="AF149" s="214"/>
      <c r="AG149" s="218"/>
      <c r="AH149" s="214">
        <f>SUM(J149,L149,N149,P149,R149,T149,V149,X149,Z149,AB149,AD149,AF149)</f>
        <v>0</v>
      </c>
      <c r="AI149" s="218">
        <f>AH149/AH$28</f>
        <v>0</v>
      </c>
      <c r="AJ149" s="220"/>
      <c r="AK149" s="220"/>
      <c r="AL149" s="220"/>
      <c r="AM149" s="220"/>
      <c r="AN149" s="220"/>
      <c r="AO149" s="220"/>
      <c r="AP149" s="220"/>
    </row>
    <row r="150" spans="1:42" ht="15.75" customHeight="1">
      <c r="A150" s="189"/>
      <c r="B150" s="190" t="s">
        <v>580</v>
      </c>
      <c r="C150" s="217" t="s">
        <v>185</v>
      </c>
      <c r="D150" s="214"/>
      <c r="E150" s="218"/>
      <c r="F150" s="214"/>
      <c r="G150" s="218"/>
      <c r="H150" s="212"/>
      <c r="I150" s="219">
        <f>H150/H$28</f>
        <v>0</v>
      </c>
      <c r="J150" s="212"/>
      <c r="K150" s="219">
        <f>J150/J$28</f>
        <v>0</v>
      </c>
      <c r="L150" s="212"/>
      <c r="M150" s="219">
        <f>L150/L$28</f>
        <v>0</v>
      </c>
      <c r="N150" s="214"/>
      <c r="O150" s="218"/>
      <c r="P150" s="214"/>
      <c r="Q150" s="218"/>
      <c r="R150" s="214"/>
      <c r="S150" s="218"/>
      <c r="T150" s="214"/>
      <c r="U150" s="218"/>
      <c r="V150" s="214"/>
      <c r="W150" s="218"/>
      <c r="X150" s="214"/>
      <c r="Y150" s="218"/>
      <c r="Z150" s="214"/>
      <c r="AA150" s="218"/>
      <c r="AB150" s="214"/>
      <c r="AC150" s="218"/>
      <c r="AD150" s="214"/>
      <c r="AE150" s="218"/>
      <c r="AF150" s="214"/>
      <c r="AG150" s="218"/>
      <c r="AH150" s="214">
        <f>SUM(J150,L150,N150,P150,R150,T150,V150,X150,Z150,AB150,AD150,AF150)</f>
        <v>0</v>
      </c>
      <c r="AI150" s="218">
        <f>AH150/AH$28</f>
        <v>0</v>
      </c>
      <c r="AJ150" s="220"/>
      <c r="AK150" s="220"/>
      <c r="AL150" s="220"/>
      <c r="AM150" s="220"/>
      <c r="AN150" s="220"/>
      <c r="AO150" s="220"/>
      <c r="AP150" s="220"/>
    </row>
    <row r="151" spans="1:42" ht="15.75" customHeight="1" thickBot="1">
      <c r="A151" s="288" t="s">
        <v>2</v>
      </c>
      <c r="B151" s="289"/>
      <c r="C151" s="290"/>
      <c r="D151" s="291"/>
      <c r="E151" s="292"/>
      <c r="F151" s="291"/>
      <c r="G151" s="292"/>
      <c r="H151" s="293">
        <f>H145-SUM(H146:H150)</f>
        <v>-40306.689281114064</v>
      </c>
      <c r="I151" s="294">
        <f>H151/H28</f>
        <v>-0.13891194265616924</v>
      </c>
      <c r="J151" s="293">
        <f>J145-SUM(J146:J150)</f>
        <v>6031.9147361342475</v>
      </c>
      <c r="K151" s="294">
        <f>J151/J28</f>
        <v>1.3808116344922655E-2</v>
      </c>
      <c r="L151" s="293">
        <f>L145-SUM(L146:L150)</f>
        <v>4075.5483218171539</v>
      </c>
      <c r="M151" s="294">
        <f>L151/L28</f>
        <v>9.0286922775710231E-3</v>
      </c>
      <c r="N151" s="291"/>
      <c r="O151" s="292"/>
      <c r="P151" s="291"/>
      <c r="Q151" s="292"/>
      <c r="R151" s="291"/>
      <c r="S151" s="292"/>
      <c r="T151" s="291"/>
      <c r="U151" s="292"/>
      <c r="V151" s="291"/>
      <c r="W151" s="292"/>
      <c r="X151" s="291"/>
      <c r="Y151" s="292"/>
      <c r="Z151" s="291"/>
      <c r="AA151" s="292"/>
      <c r="AB151" s="291"/>
      <c r="AC151" s="292"/>
      <c r="AD151" s="291"/>
      <c r="AE151" s="292"/>
      <c r="AF151" s="291"/>
      <c r="AG151" s="292"/>
      <c r="AH151" s="291">
        <f>AH145-SUM(AH146:AH150)</f>
        <v>10107.463057951405</v>
      </c>
      <c r="AI151" s="292">
        <f>AH151/AH28</f>
        <v>1.1379228704137405E-2</v>
      </c>
      <c r="AJ151" s="243"/>
      <c r="AK151" s="243"/>
      <c r="AL151" s="243"/>
      <c r="AM151" s="243"/>
      <c r="AN151" s="243"/>
      <c r="AO151" s="243"/>
      <c r="AP151" s="243"/>
    </row>
    <row r="152" spans="1:42" ht="15.75" customHeight="1">
      <c r="A152" s="295"/>
      <c r="B152" s="190"/>
      <c r="C152" s="284"/>
      <c r="D152" s="209"/>
      <c r="E152" s="209"/>
      <c r="F152" s="209"/>
      <c r="G152" s="209"/>
      <c r="H152" s="296"/>
      <c r="I152" s="296"/>
      <c r="J152" s="296"/>
      <c r="K152" s="296"/>
      <c r="L152" s="296"/>
      <c r="M152" s="296"/>
      <c r="N152" s="209"/>
      <c r="O152" s="209"/>
      <c r="P152" s="209"/>
      <c r="Q152" s="209"/>
      <c r="R152" s="209"/>
      <c r="S152" s="209"/>
      <c r="T152" s="209"/>
      <c r="U152" s="209"/>
      <c r="V152" s="209"/>
      <c r="W152" s="209"/>
      <c r="X152" s="209"/>
      <c r="Y152" s="209"/>
      <c r="Z152" s="209"/>
      <c r="AA152" s="209"/>
      <c r="AB152" s="209"/>
      <c r="AC152" s="209"/>
      <c r="AD152" s="209"/>
      <c r="AE152" s="209"/>
      <c r="AF152" s="209"/>
      <c r="AG152" s="209"/>
      <c r="AH152" s="209"/>
      <c r="AI152" s="209"/>
      <c r="AJ152" s="209"/>
      <c r="AK152" s="209"/>
      <c r="AL152" s="209"/>
      <c r="AM152" s="209"/>
      <c r="AN152" s="209"/>
      <c r="AO152" s="209"/>
      <c r="AP152" s="209"/>
    </row>
    <row r="153" spans="1:42" ht="15.75" customHeight="1">
      <c r="A153" s="297" t="s">
        <v>581</v>
      </c>
      <c r="B153" s="298"/>
      <c r="C153" s="299"/>
      <c r="D153" s="209"/>
      <c r="E153" s="209"/>
      <c r="F153" s="209"/>
      <c r="G153" s="209"/>
      <c r="H153" s="296"/>
      <c r="I153" s="296"/>
      <c r="J153" s="296"/>
      <c r="K153" s="296"/>
      <c r="L153" s="296"/>
      <c r="M153" s="296"/>
      <c r="N153" s="209"/>
      <c r="O153" s="209"/>
      <c r="P153" s="209"/>
      <c r="Q153" s="209"/>
      <c r="R153" s="209"/>
      <c r="S153" s="209"/>
      <c r="T153" s="209"/>
      <c r="U153" s="209"/>
      <c r="V153" s="209"/>
      <c r="W153" s="209"/>
      <c r="X153" s="209"/>
      <c r="Y153" s="209"/>
      <c r="Z153" s="209"/>
      <c r="AA153" s="209"/>
      <c r="AB153" s="209"/>
      <c r="AC153" s="209"/>
      <c r="AD153" s="209"/>
      <c r="AE153" s="209"/>
      <c r="AF153" s="209"/>
      <c r="AG153" s="209"/>
      <c r="AH153" s="209"/>
      <c r="AI153" s="209"/>
      <c r="AJ153" s="209"/>
      <c r="AK153" s="209"/>
      <c r="AL153" s="209"/>
      <c r="AM153" s="209"/>
      <c r="AN153" s="209"/>
      <c r="AO153" s="209"/>
      <c r="AP153" s="209"/>
    </row>
    <row r="154" spans="1:42" ht="15.75" customHeight="1">
      <c r="A154" s="209"/>
      <c r="B154" s="209"/>
      <c r="C154" s="209"/>
      <c r="D154" s="209"/>
      <c r="E154" s="209"/>
      <c r="F154" s="209"/>
      <c r="G154" s="209"/>
      <c r="H154" s="296"/>
      <c r="I154" s="296"/>
      <c r="J154" s="296"/>
      <c r="K154" s="296"/>
      <c r="L154" s="296"/>
      <c r="M154" s="296"/>
      <c r="N154" s="209"/>
      <c r="O154" s="209"/>
      <c r="P154" s="209"/>
      <c r="Q154" s="209"/>
      <c r="R154" s="209"/>
      <c r="S154" s="209"/>
      <c r="T154" s="209"/>
      <c r="U154" s="209"/>
      <c r="V154" s="209"/>
      <c r="W154" s="209"/>
      <c r="X154" s="209"/>
      <c r="Y154" s="209"/>
      <c r="Z154" s="209"/>
      <c r="AA154" s="209"/>
      <c r="AB154" s="209"/>
      <c r="AC154" s="209"/>
      <c r="AD154" s="209"/>
      <c r="AE154" s="209"/>
      <c r="AF154" s="209"/>
      <c r="AG154" s="209"/>
      <c r="AH154" s="209"/>
      <c r="AI154" s="209"/>
      <c r="AJ154" s="209"/>
      <c r="AK154" s="209"/>
      <c r="AL154" s="209"/>
      <c r="AM154" s="209"/>
      <c r="AN154" s="209"/>
      <c r="AO154" s="209"/>
      <c r="AP154" s="209"/>
    </row>
    <row r="155" spans="1:42" ht="15.75" customHeight="1" thickBot="1">
      <c r="A155" s="300" t="s">
        <v>582</v>
      </c>
      <c r="B155" s="301"/>
      <c r="C155" s="209"/>
      <c r="D155" s="209"/>
      <c r="E155" s="209"/>
      <c r="F155" s="209"/>
      <c r="G155" s="209"/>
      <c r="H155" s="296"/>
      <c r="I155" s="296"/>
      <c r="J155" s="296"/>
      <c r="K155" s="296"/>
      <c r="L155" s="296"/>
      <c r="M155" s="296"/>
      <c r="N155" s="209"/>
      <c r="O155" s="209"/>
      <c r="P155" s="209"/>
      <c r="Q155" s="209"/>
      <c r="R155" s="209"/>
      <c r="S155" s="209"/>
      <c r="T155" s="209"/>
      <c r="U155" s="209"/>
      <c r="V155" s="209"/>
      <c r="W155" s="209"/>
      <c r="X155" s="209"/>
      <c r="Y155" s="209"/>
      <c r="Z155" s="209"/>
      <c r="AA155" s="209"/>
      <c r="AB155" s="209"/>
      <c r="AC155" s="209"/>
      <c r="AD155" s="209"/>
      <c r="AE155" s="209"/>
      <c r="AF155" s="209"/>
      <c r="AG155" s="209"/>
      <c r="AH155" s="209"/>
      <c r="AI155" s="209"/>
      <c r="AJ155" s="209"/>
      <c r="AK155" s="209"/>
      <c r="AL155" s="209"/>
      <c r="AM155" s="209"/>
      <c r="AN155" s="209"/>
      <c r="AO155" s="209"/>
      <c r="AP155" s="209"/>
    </row>
    <row r="156" spans="1:42" ht="15.75" customHeight="1">
      <c r="A156" s="209"/>
      <c r="B156" s="209"/>
      <c r="C156" s="209"/>
      <c r="D156" s="209"/>
      <c r="E156" s="209"/>
      <c r="F156" s="209"/>
      <c r="G156" s="209"/>
      <c r="H156" s="296"/>
      <c r="I156" s="296"/>
      <c r="J156" s="296"/>
      <c r="K156" s="296"/>
      <c r="L156" s="296"/>
      <c r="M156" s="296"/>
      <c r="N156" s="209"/>
      <c r="O156" s="209"/>
      <c r="P156" s="209"/>
      <c r="Q156" s="209"/>
      <c r="R156" s="209"/>
      <c r="S156" s="209"/>
      <c r="T156" s="209"/>
      <c r="U156" s="209"/>
      <c r="V156" s="209"/>
      <c r="W156" s="209"/>
      <c r="X156" s="209"/>
      <c r="Y156" s="209"/>
      <c r="Z156" s="209"/>
      <c r="AA156" s="209"/>
      <c r="AB156" s="209"/>
      <c r="AC156" s="209"/>
      <c r="AD156" s="209"/>
      <c r="AE156" s="209"/>
      <c r="AF156" s="209"/>
      <c r="AG156" s="209"/>
      <c r="AH156" s="209"/>
      <c r="AI156" s="209"/>
      <c r="AJ156" s="209"/>
      <c r="AK156" s="209"/>
      <c r="AL156" s="209"/>
      <c r="AM156" s="209"/>
      <c r="AN156" s="209"/>
      <c r="AO156" s="209"/>
      <c r="AP156" s="209"/>
    </row>
    <row r="157" spans="1:42" ht="15.75" customHeight="1">
      <c r="A157" s="209"/>
      <c r="B157" s="209"/>
      <c r="C157" s="209"/>
      <c r="D157" s="209"/>
      <c r="E157" s="209"/>
      <c r="F157" s="209"/>
      <c r="G157" s="209"/>
      <c r="H157" s="296"/>
      <c r="I157" s="296"/>
      <c r="J157" s="296"/>
      <c r="K157" s="296"/>
      <c r="L157" s="296"/>
      <c r="M157" s="296"/>
      <c r="N157" s="209"/>
      <c r="O157" s="209"/>
      <c r="P157" s="209"/>
      <c r="Q157" s="209"/>
      <c r="R157" s="209"/>
      <c r="S157" s="209"/>
      <c r="T157" s="209"/>
      <c r="U157" s="209"/>
      <c r="V157" s="209"/>
      <c r="W157" s="209"/>
      <c r="X157" s="209"/>
      <c r="Y157" s="209"/>
      <c r="Z157" s="209"/>
      <c r="AA157" s="209"/>
      <c r="AB157" s="209"/>
      <c r="AC157" s="209"/>
      <c r="AD157" s="209"/>
      <c r="AE157" s="209"/>
      <c r="AF157" s="209"/>
      <c r="AG157" s="209"/>
      <c r="AH157" s="209"/>
      <c r="AI157" s="209"/>
      <c r="AJ157" s="209"/>
      <c r="AK157" s="209"/>
      <c r="AL157" s="209"/>
      <c r="AM157" s="209"/>
      <c r="AN157" s="209"/>
      <c r="AO157" s="209"/>
      <c r="AP157" s="209"/>
    </row>
    <row r="158" spans="1:42" ht="15.75" customHeight="1">
      <c r="A158" s="209"/>
      <c r="B158" s="209"/>
      <c r="C158" s="209"/>
      <c r="D158" s="209"/>
      <c r="E158" s="209"/>
      <c r="F158" s="209"/>
      <c r="G158" s="209"/>
      <c r="H158" s="296"/>
      <c r="I158" s="296"/>
      <c r="J158" s="296"/>
      <c r="K158" s="296"/>
      <c r="L158" s="296"/>
      <c r="M158" s="296"/>
      <c r="N158" s="209"/>
      <c r="O158" s="209"/>
      <c r="P158" s="209"/>
      <c r="Q158" s="209"/>
      <c r="R158" s="209"/>
      <c r="S158" s="209"/>
      <c r="T158" s="209"/>
      <c r="U158" s="209"/>
      <c r="V158" s="209"/>
      <c r="W158" s="209"/>
      <c r="X158" s="209"/>
      <c r="Y158" s="209"/>
      <c r="Z158" s="209"/>
      <c r="AA158" s="209"/>
      <c r="AB158" s="209"/>
      <c r="AC158" s="209"/>
      <c r="AD158" s="209"/>
      <c r="AE158" s="209"/>
      <c r="AF158" s="209"/>
      <c r="AG158" s="209"/>
      <c r="AH158" s="209"/>
      <c r="AI158" s="209"/>
      <c r="AJ158" s="209"/>
      <c r="AK158" s="209"/>
      <c r="AL158" s="209"/>
      <c r="AM158" s="209"/>
      <c r="AN158" s="209"/>
      <c r="AO158" s="209"/>
      <c r="AP158" s="209"/>
    </row>
    <row r="159" spans="1:42" ht="15.75" customHeight="1">
      <c r="A159" s="209"/>
      <c r="B159" s="209"/>
      <c r="C159" s="209"/>
      <c r="D159" s="209"/>
      <c r="E159" s="209"/>
      <c r="F159" s="209"/>
      <c r="G159" s="209"/>
      <c r="H159" s="296"/>
      <c r="I159" s="296"/>
      <c r="J159" s="296"/>
      <c r="K159" s="296"/>
      <c r="L159" s="296"/>
      <c r="M159" s="296"/>
      <c r="N159" s="209"/>
      <c r="O159" s="209"/>
      <c r="P159" s="209"/>
      <c r="Q159" s="209"/>
      <c r="R159" s="209"/>
      <c r="S159" s="209"/>
      <c r="T159" s="209"/>
      <c r="U159" s="209"/>
      <c r="V159" s="209"/>
      <c r="W159" s="209"/>
      <c r="X159" s="209"/>
      <c r="Y159" s="209"/>
      <c r="Z159" s="209"/>
      <c r="AA159" s="209"/>
      <c r="AB159" s="209"/>
      <c r="AC159" s="209"/>
      <c r="AD159" s="209"/>
      <c r="AE159" s="209"/>
      <c r="AF159" s="209"/>
      <c r="AG159" s="209"/>
      <c r="AH159" s="209"/>
      <c r="AI159" s="209"/>
      <c r="AJ159" s="209"/>
      <c r="AK159" s="209"/>
      <c r="AL159" s="209"/>
      <c r="AM159" s="209"/>
      <c r="AN159" s="209"/>
      <c r="AO159" s="209"/>
      <c r="AP159" s="209"/>
    </row>
    <row r="160" spans="1:42" ht="15.75" customHeight="1">
      <c r="A160" s="209"/>
      <c r="B160" s="209"/>
      <c r="C160" s="209"/>
      <c r="D160" s="209"/>
      <c r="E160" s="209"/>
      <c r="F160" s="209"/>
      <c r="G160" s="209"/>
      <c r="H160" s="296"/>
      <c r="I160" s="296"/>
      <c r="J160" s="296"/>
      <c r="K160" s="296"/>
      <c r="L160" s="296"/>
      <c r="M160" s="296"/>
      <c r="N160" s="209"/>
      <c r="O160" s="209"/>
      <c r="P160" s="209"/>
      <c r="Q160" s="209"/>
      <c r="R160" s="209"/>
      <c r="S160" s="209"/>
      <c r="T160" s="209"/>
      <c r="U160" s="209"/>
      <c r="V160" s="209"/>
      <c r="W160" s="209"/>
      <c r="X160" s="209"/>
      <c r="Y160" s="209"/>
      <c r="Z160" s="209"/>
      <c r="AA160" s="209"/>
      <c r="AB160" s="209"/>
      <c r="AC160" s="209"/>
      <c r="AD160" s="209"/>
      <c r="AE160" s="209"/>
      <c r="AF160" s="209"/>
      <c r="AG160" s="209"/>
      <c r="AH160" s="209"/>
      <c r="AI160" s="209"/>
      <c r="AJ160" s="209"/>
      <c r="AK160" s="209"/>
      <c r="AL160" s="209"/>
      <c r="AM160" s="209"/>
      <c r="AN160" s="209"/>
      <c r="AO160" s="209"/>
      <c r="AP160" s="209"/>
    </row>
    <row r="161" spans="1:42" ht="15.75" customHeight="1">
      <c r="A161" s="209"/>
      <c r="B161" s="209"/>
      <c r="C161" s="209"/>
      <c r="D161" s="209"/>
      <c r="E161" s="209"/>
      <c r="F161" s="209"/>
      <c r="G161" s="209"/>
      <c r="H161" s="296"/>
      <c r="I161" s="296"/>
      <c r="J161" s="296"/>
      <c r="K161" s="296"/>
      <c r="L161" s="296"/>
      <c r="M161" s="296"/>
      <c r="N161" s="209"/>
      <c r="O161" s="209"/>
      <c r="P161" s="209"/>
      <c r="Q161" s="209"/>
      <c r="R161" s="209"/>
      <c r="S161" s="209"/>
      <c r="T161" s="209"/>
      <c r="U161" s="209"/>
      <c r="V161" s="209"/>
      <c r="W161" s="209"/>
      <c r="X161" s="209"/>
      <c r="Y161" s="209"/>
      <c r="Z161" s="209"/>
      <c r="AA161" s="209"/>
      <c r="AB161" s="209"/>
      <c r="AC161" s="209"/>
      <c r="AD161" s="209"/>
      <c r="AE161" s="209"/>
      <c r="AF161" s="209"/>
      <c r="AG161" s="209"/>
      <c r="AH161" s="209"/>
      <c r="AI161" s="209"/>
      <c r="AJ161" s="209"/>
      <c r="AK161" s="209"/>
      <c r="AL161" s="209"/>
      <c r="AM161" s="209"/>
      <c r="AN161" s="209"/>
      <c r="AO161" s="209"/>
      <c r="AP161" s="209"/>
    </row>
    <row r="162" spans="1:42" ht="15.75" customHeight="1">
      <c r="A162" s="209"/>
      <c r="B162" s="209"/>
      <c r="C162" s="209"/>
      <c r="D162" s="209"/>
      <c r="E162" s="209"/>
      <c r="F162" s="209"/>
      <c r="G162" s="209"/>
      <c r="H162" s="296"/>
      <c r="I162" s="296"/>
      <c r="J162" s="296"/>
      <c r="K162" s="296"/>
      <c r="L162" s="296"/>
      <c r="M162" s="296"/>
      <c r="N162" s="209"/>
      <c r="O162" s="209"/>
      <c r="P162" s="209"/>
      <c r="Q162" s="209"/>
      <c r="R162" s="209"/>
      <c r="S162" s="209"/>
      <c r="T162" s="209"/>
      <c r="U162" s="209"/>
      <c r="V162" s="209"/>
      <c r="W162" s="209"/>
      <c r="X162" s="209"/>
      <c r="Y162" s="209"/>
      <c r="Z162" s="209"/>
      <c r="AA162" s="209"/>
      <c r="AB162" s="209"/>
      <c r="AC162" s="209"/>
      <c r="AD162" s="209"/>
      <c r="AE162" s="209"/>
      <c r="AF162" s="209"/>
      <c r="AG162" s="209"/>
      <c r="AH162" s="209"/>
      <c r="AI162" s="209"/>
      <c r="AJ162" s="209"/>
      <c r="AK162" s="209"/>
      <c r="AL162" s="209"/>
      <c r="AM162" s="209"/>
      <c r="AN162" s="209"/>
      <c r="AO162" s="209"/>
      <c r="AP162" s="209"/>
    </row>
    <row r="163" spans="1:42" ht="15.75" customHeight="1">
      <c r="A163" s="209"/>
      <c r="B163" s="209"/>
      <c r="C163" s="209"/>
      <c r="D163" s="209"/>
      <c r="E163" s="209"/>
      <c r="F163" s="209"/>
      <c r="G163" s="209"/>
      <c r="H163" s="296"/>
      <c r="I163" s="296"/>
      <c r="J163" s="296"/>
      <c r="K163" s="296"/>
      <c r="L163" s="296"/>
      <c r="M163" s="296"/>
      <c r="N163" s="209"/>
      <c r="O163" s="209"/>
      <c r="P163" s="209"/>
      <c r="Q163" s="209"/>
      <c r="R163" s="209"/>
      <c r="S163" s="209"/>
      <c r="T163" s="209"/>
      <c r="U163" s="209"/>
      <c r="V163" s="209"/>
      <c r="W163" s="209"/>
      <c r="X163" s="209"/>
      <c r="Y163" s="209"/>
      <c r="Z163" s="209"/>
      <c r="AA163" s="209"/>
      <c r="AB163" s="209"/>
      <c r="AC163" s="209"/>
      <c r="AD163" s="209"/>
      <c r="AE163" s="209"/>
      <c r="AF163" s="209"/>
      <c r="AG163" s="209"/>
      <c r="AH163" s="209"/>
      <c r="AI163" s="209"/>
      <c r="AJ163" s="209"/>
      <c r="AK163" s="209"/>
      <c r="AL163" s="209"/>
      <c r="AM163" s="209"/>
      <c r="AN163" s="209"/>
      <c r="AO163" s="209"/>
      <c r="AP163" s="209"/>
    </row>
    <row r="164" spans="1:42" ht="15.75" customHeight="1">
      <c r="A164" s="209"/>
      <c r="B164" s="209"/>
      <c r="C164" s="209"/>
      <c r="D164" s="209"/>
      <c r="E164" s="209"/>
      <c r="F164" s="209"/>
      <c r="G164" s="209"/>
      <c r="H164" s="296"/>
      <c r="I164" s="296"/>
      <c r="J164" s="296"/>
      <c r="K164" s="296"/>
      <c r="L164" s="296"/>
      <c r="M164" s="296"/>
      <c r="N164" s="209"/>
      <c r="O164" s="209"/>
      <c r="P164" s="209"/>
      <c r="Q164" s="209"/>
      <c r="R164" s="209"/>
      <c r="S164" s="209"/>
      <c r="T164" s="209"/>
      <c r="U164" s="209"/>
      <c r="V164" s="209"/>
      <c r="W164" s="209"/>
      <c r="X164" s="209"/>
      <c r="Y164" s="209"/>
      <c r="Z164" s="209"/>
      <c r="AA164" s="209"/>
      <c r="AB164" s="209"/>
      <c r="AC164" s="209"/>
      <c r="AD164" s="209"/>
      <c r="AE164" s="209"/>
      <c r="AF164" s="209"/>
      <c r="AG164" s="209"/>
      <c r="AH164" s="209"/>
      <c r="AI164" s="209"/>
      <c r="AJ164" s="209"/>
      <c r="AK164" s="209"/>
      <c r="AL164" s="209"/>
      <c r="AM164" s="209"/>
      <c r="AN164" s="209"/>
      <c r="AO164" s="209"/>
      <c r="AP164" s="209"/>
    </row>
    <row r="165" spans="1:42" ht="15.75" customHeight="1">
      <c r="A165" s="209"/>
      <c r="B165" s="209"/>
      <c r="C165" s="209"/>
      <c r="D165" s="209"/>
      <c r="E165" s="209"/>
      <c r="F165" s="209"/>
      <c r="G165" s="209"/>
      <c r="H165" s="296"/>
      <c r="I165" s="296"/>
      <c r="J165" s="296"/>
      <c r="K165" s="296"/>
      <c r="L165" s="296"/>
      <c r="M165" s="296"/>
      <c r="N165" s="209"/>
      <c r="O165" s="209"/>
      <c r="P165" s="209"/>
      <c r="Q165" s="209"/>
      <c r="R165" s="209"/>
      <c r="S165" s="209"/>
      <c r="T165" s="209"/>
      <c r="U165" s="209"/>
      <c r="V165" s="209"/>
      <c r="W165" s="209"/>
      <c r="X165" s="209"/>
      <c r="Y165" s="209"/>
      <c r="Z165" s="209"/>
      <c r="AA165" s="209"/>
      <c r="AB165" s="209"/>
      <c r="AC165" s="209"/>
      <c r="AD165" s="209"/>
      <c r="AE165" s="209"/>
      <c r="AF165" s="209"/>
      <c r="AG165" s="209"/>
      <c r="AH165" s="209"/>
      <c r="AI165" s="209"/>
      <c r="AJ165" s="209"/>
      <c r="AK165" s="209"/>
      <c r="AL165" s="209"/>
      <c r="AM165" s="209"/>
      <c r="AN165" s="209"/>
      <c r="AO165" s="209"/>
      <c r="AP165" s="209"/>
    </row>
    <row r="166" spans="1:42" ht="15.75" customHeight="1">
      <c r="A166" s="209"/>
      <c r="B166" s="209"/>
      <c r="C166" s="209"/>
      <c r="D166" s="209"/>
      <c r="E166" s="209"/>
      <c r="F166" s="209"/>
      <c r="G166" s="209"/>
      <c r="H166" s="296"/>
      <c r="I166" s="296"/>
      <c r="J166" s="296"/>
      <c r="K166" s="296"/>
      <c r="L166" s="296"/>
      <c r="M166" s="296"/>
      <c r="N166" s="209"/>
      <c r="O166" s="209"/>
      <c r="P166" s="209"/>
      <c r="Q166" s="209"/>
      <c r="R166" s="209"/>
      <c r="S166" s="209"/>
      <c r="T166" s="209"/>
      <c r="U166" s="209"/>
      <c r="V166" s="209"/>
      <c r="W166" s="209"/>
      <c r="X166" s="209"/>
      <c r="Y166" s="209"/>
      <c r="Z166" s="209"/>
      <c r="AA166" s="209"/>
      <c r="AB166" s="209"/>
      <c r="AC166" s="209"/>
      <c r="AD166" s="209"/>
      <c r="AE166" s="209"/>
      <c r="AF166" s="209"/>
      <c r="AG166" s="209"/>
      <c r="AH166" s="209"/>
      <c r="AI166" s="209"/>
      <c r="AJ166" s="209"/>
      <c r="AK166" s="209"/>
      <c r="AL166" s="209"/>
      <c r="AM166" s="209"/>
      <c r="AN166" s="209"/>
      <c r="AO166" s="209"/>
      <c r="AP166" s="209"/>
    </row>
    <row r="167" spans="1:42" ht="15.75" customHeight="1">
      <c r="A167" s="209"/>
      <c r="B167" s="209"/>
      <c r="C167" s="209"/>
      <c r="D167" s="209"/>
      <c r="E167" s="209"/>
      <c r="F167" s="209"/>
      <c r="G167" s="209"/>
      <c r="H167" s="296"/>
      <c r="I167" s="296"/>
      <c r="J167" s="296"/>
      <c r="K167" s="296"/>
      <c r="L167" s="296"/>
      <c r="M167" s="296"/>
      <c r="N167" s="209"/>
      <c r="O167" s="209"/>
      <c r="P167" s="209"/>
      <c r="Q167" s="209"/>
      <c r="R167" s="209"/>
      <c r="S167" s="209"/>
      <c r="T167" s="209"/>
      <c r="U167" s="209"/>
      <c r="V167" s="209"/>
      <c r="W167" s="209"/>
      <c r="X167" s="209"/>
      <c r="Y167" s="209"/>
      <c r="Z167" s="209"/>
      <c r="AA167" s="209"/>
      <c r="AB167" s="209"/>
      <c r="AC167" s="209"/>
      <c r="AD167" s="209"/>
      <c r="AE167" s="209"/>
      <c r="AF167" s="209"/>
      <c r="AG167" s="209"/>
      <c r="AH167" s="209"/>
      <c r="AI167" s="209"/>
      <c r="AJ167" s="209"/>
      <c r="AK167" s="209"/>
      <c r="AL167" s="209"/>
      <c r="AM167" s="209"/>
      <c r="AN167" s="209"/>
      <c r="AO167" s="209"/>
      <c r="AP167" s="209"/>
    </row>
    <row r="168" spans="1:42" ht="15.75" customHeight="1">
      <c r="A168" s="209"/>
      <c r="B168" s="209"/>
      <c r="C168" s="209"/>
      <c r="D168" s="209"/>
      <c r="E168" s="209"/>
      <c r="F168" s="209"/>
      <c r="G168" s="209"/>
      <c r="H168" s="296"/>
      <c r="I168" s="296"/>
      <c r="J168" s="296"/>
      <c r="K168" s="296"/>
      <c r="L168" s="296"/>
      <c r="M168" s="296"/>
      <c r="N168" s="209"/>
      <c r="O168" s="209"/>
      <c r="P168" s="209"/>
      <c r="Q168" s="209"/>
      <c r="R168" s="209"/>
      <c r="S168" s="209"/>
      <c r="T168" s="209"/>
      <c r="U168" s="209"/>
      <c r="V168" s="209"/>
      <c r="W168" s="209"/>
      <c r="X168" s="209"/>
      <c r="Y168" s="209"/>
      <c r="Z168" s="209"/>
      <c r="AA168" s="209"/>
      <c r="AB168" s="209"/>
      <c r="AC168" s="209"/>
      <c r="AD168" s="209"/>
      <c r="AE168" s="209"/>
      <c r="AF168" s="209"/>
      <c r="AG168" s="209"/>
      <c r="AH168" s="209"/>
      <c r="AI168" s="209"/>
      <c r="AJ168" s="209"/>
      <c r="AK168" s="209"/>
      <c r="AL168" s="209"/>
      <c r="AM168" s="209"/>
      <c r="AN168" s="209"/>
      <c r="AO168" s="209"/>
      <c r="AP168" s="209"/>
    </row>
    <row r="169" spans="1:42" ht="15.75" customHeight="1">
      <c r="A169" s="209"/>
      <c r="B169" s="209"/>
      <c r="C169" s="209"/>
      <c r="D169" s="209"/>
      <c r="E169" s="209"/>
      <c r="F169" s="209"/>
      <c r="G169" s="209"/>
      <c r="H169" s="296"/>
      <c r="I169" s="296"/>
      <c r="J169" s="296"/>
      <c r="K169" s="296"/>
      <c r="L169" s="296"/>
      <c r="M169" s="296"/>
      <c r="N169" s="209"/>
      <c r="O169" s="209"/>
      <c r="P169" s="209"/>
      <c r="Q169" s="209"/>
      <c r="R169" s="209"/>
      <c r="S169" s="209"/>
      <c r="T169" s="209"/>
      <c r="U169" s="209"/>
      <c r="V169" s="209"/>
      <c r="W169" s="209"/>
      <c r="X169" s="209"/>
      <c r="Y169" s="209"/>
      <c r="Z169" s="209"/>
      <c r="AA169" s="209"/>
      <c r="AB169" s="209"/>
      <c r="AC169" s="209"/>
      <c r="AD169" s="209"/>
      <c r="AE169" s="209"/>
      <c r="AF169" s="209"/>
      <c r="AG169" s="209"/>
      <c r="AH169" s="209"/>
      <c r="AI169" s="209"/>
      <c r="AJ169" s="209"/>
      <c r="AK169" s="209"/>
      <c r="AL169" s="209"/>
      <c r="AM169" s="209"/>
      <c r="AN169" s="209"/>
      <c r="AO169" s="209"/>
      <c r="AP169" s="209"/>
    </row>
    <row r="170" spans="1:42" ht="15.75" customHeight="1">
      <c r="A170" s="209"/>
      <c r="B170" s="209"/>
      <c r="C170" s="209"/>
      <c r="D170" s="209"/>
      <c r="E170" s="209"/>
      <c r="F170" s="209"/>
      <c r="G170" s="209"/>
      <c r="H170" s="296"/>
      <c r="I170" s="296"/>
      <c r="J170" s="296"/>
      <c r="K170" s="296"/>
      <c r="L170" s="296"/>
      <c r="M170" s="296"/>
      <c r="N170" s="209"/>
      <c r="O170" s="209"/>
      <c r="P170" s="209"/>
      <c r="Q170" s="209"/>
      <c r="R170" s="209"/>
      <c r="S170" s="209"/>
      <c r="T170" s="209"/>
      <c r="U170" s="209"/>
      <c r="V170" s="209"/>
      <c r="W170" s="209"/>
      <c r="X170" s="209"/>
      <c r="Y170" s="209"/>
      <c r="Z170" s="209"/>
      <c r="AA170" s="209"/>
      <c r="AB170" s="209"/>
      <c r="AC170" s="209"/>
      <c r="AD170" s="209"/>
      <c r="AE170" s="209"/>
      <c r="AF170" s="209"/>
      <c r="AG170" s="209"/>
      <c r="AH170" s="209"/>
      <c r="AI170" s="209"/>
      <c r="AJ170" s="209"/>
      <c r="AK170" s="209"/>
      <c r="AL170" s="209"/>
      <c r="AM170" s="209"/>
      <c r="AN170" s="209"/>
      <c r="AO170" s="209"/>
      <c r="AP170" s="209"/>
    </row>
    <row r="171" spans="1:42" ht="15.75" customHeight="1">
      <c r="A171" s="209"/>
      <c r="B171" s="209"/>
      <c r="C171" s="209"/>
      <c r="D171" s="209"/>
      <c r="E171" s="209"/>
      <c r="F171" s="209"/>
      <c r="G171" s="209"/>
      <c r="H171" s="296"/>
      <c r="I171" s="296"/>
      <c r="J171" s="296"/>
      <c r="K171" s="296"/>
      <c r="L171" s="296"/>
      <c r="M171" s="296"/>
      <c r="N171" s="209"/>
      <c r="O171" s="209"/>
      <c r="P171" s="209"/>
      <c r="Q171" s="209"/>
      <c r="R171" s="209"/>
      <c r="S171" s="209"/>
      <c r="T171" s="209"/>
      <c r="U171" s="209"/>
      <c r="V171" s="209"/>
      <c r="W171" s="209"/>
      <c r="X171" s="209"/>
      <c r="Y171" s="209"/>
      <c r="Z171" s="209"/>
      <c r="AA171" s="209"/>
      <c r="AB171" s="209"/>
      <c r="AC171" s="209"/>
      <c r="AD171" s="209"/>
      <c r="AE171" s="209"/>
      <c r="AF171" s="209"/>
      <c r="AG171" s="209"/>
      <c r="AH171" s="209"/>
      <c r="AI171" s="209"/>
      <c r="AJ171" s="209"/>
      <c r="AK171" s="209"/>
      <c r="AL171" s="209"/>
      <c r="AM171" s="209"/>
      <c r="AN171" s="209"/>
      <c r="AO171" s="209"/>
      <c r="AP171" s="209"/>
    </row>
    <row r="172" spans="1:42" ht="15.75" customHeight="1">
      <c r="A172" s="209"/>
      <c r="B172" s="209"/>
      <c r="C172" s="209"/>
      <c r="D172" s="209"/>
      <c r="E172" s="209"/>
      <c r="F172" s="209"/>
      <c r="G172" s="209"/>
      <c r="H172" s="296"/>
      <c r="I172" s="296"/>
      <c r="J172" s="296"/>
      <c r="K172" s="296"/>
      <c r="L172" s="296"/>
      <c r="M172" s="296"/>
      <c r="N172" s="209"/>
      <c r="O172" s="209"/>
      <c r="P172" s="209"/>
      <c r="Q172" s="209"/>
      <c r="R172" s="209"/>
      <c r="S172" s="209"/>
      <c r="T172" s="209"/>
      <c r="U172" s="209"/>
      <c r="V172" s="209"/>
      <c r="W172" s="209"/>
      <c r="X172" s="209"/>
      <c r="Y172" s="209"/>
      <c r="Z172" s="209"/>
      <c r="AA172" s="209"/>
      <c r="AB172" s="209"/>
      <c r="AC172" s="209"/>
      <c r="AD172" s="209"/>
      <c r="AE172" s="209"/>
      <c r="AF172" s="209"/>
      <c r="AG172" s="209"/>
      <c r="AH172" s="209"/>
      <c r="AI172" s="209"/>
      <c r="AJ172" s="209"/>
      <c r="AK172" s="209"/>
      <c r="AL172" s="209"/>
      <c r="AM172" s="209"/>
      <c r="AN172" s="209"/>
      <c r="AO172" s="209"/>
      <c r="AP172" s="209"/>
    </row>
    <row r="173" spans="1:42" ht="15.75" customHeight="1">
      <c r="A173" s="209"/>
      <c r="B173" s="209"/>
      <c r="C173" s="209"/>
      <c r="D173" s="209"/>
      <c r="E173" s="209"/>
      <c r="F173" s="209"/>
      <c r="G173" s="209"/>
      <c r="H173" s="296"/>
      <c r="I173" s="296"/>
      <c r="J173" s="296"/>
      <c r="K173" s="296"/>
      <c r="L173" s="296"/>
      <c r="M173" s="296"/>
      <c r="N173" s="209"/>
      <c r="O173" s="209"/>
      <c r="P173" s="209"/>
      <c r="Q173" s="209"/>
      <c r="R173" s="209"/>
      <c r="S173" s="209"/>
      <c r="T173" s="209"/>
      <c r="U173" s="209"/>
      <c r="V173" s="209"/>
      <c r="W173" s="209"/>
      <c r="X173" s="209"/>
      <c r="Y173" s="209"/>
      <c r="Z173" s="209"/>
      <c r="AA173" s="209"/>
      <c r="AB173" s="209"/>
      <c r="AC173" s="209"/>
      <c r="AD173" s="209"/>
      <c r="AE173" s="209"/>
      <c r="AF173" s="209"/>
      <c r="AG173" s="209"/>
      <c r="AH173" s="209"/>
      <c r="AI173" s="209"/>
      <c r="AJ173" s="209"/>
      <c r="AK173" s="209"/>
      <c r="AL173" s="209"/>
      <c r="AM173" s="209"/>
      <c r="AN173" s="209"/>
      <c r="AO173" s="209"/>
      <c r="AP173" s="209"/>
    </row>
    <row r="174" spans="1:42" ht="15.75" customHeight="1">
      <c r="A174" s="209"/>
      <c r="B174" s="209"/>
      <c r="C174" s="209"/>
      <c r="D174" s="209"/>
      <c r="E174" s="209"/>
      <c r="F174" s="209"/>
      <c r="G174" s="209"/>
      <c r="H174" s="296"/>
      <c r="I174" s="296"/>
      <c r="J174" s="296"/>
      <c r="K174" s="296"/>
      <c r="L174" s="296"/>
      <c r="M174" s="296"/>
      <c r="N174" s="209"/>
      <c r="O174" s="209"/>
      <c r="P174" s="209"/>
      <c r="Q174" s="209"/>
      <c r="R174" s="209"/>
      <c r="S174" s="209"/>
      <c r="T174" s="209"/>
      <c r="U174" s="209"/>
      <c r="V174" s="209"/>
      <c r="W174" s="209"/>
      <c r="X174" s="209"/>
      <c r="Y174" s="209"/>
      <c r="Z174" s="209"/>
      <c r="AA174" s="209"/>
      <c r="AB174" s="209"/>
      <c r="AC174" s="209"/>
      <c r="AD174" s="209"/>
      <c r="AE174" s="209"/>
      <c r="AF174" s="209"/>
      <c r="AG174" s="209"/>
      <c r="AH174" s="209"/>
      <c r="AI174" s="209"/>
      <c r="AJ174" s="209"/>
      <c r="AK174" s="209"/>
      <c r="AL174" s="209"/>
      <c r="AM174" s="209"/>
      <c r="AN174" s="209"/>
      <c r="AO174" s="209"/>
      <c r="AP174" s="209"/>
    </row>
    <row r="175" spans="1:42" ht="15.75" customHeight="1">
      <c r="A175" s="209"/>
      <c r="B175" s="209"/>
      <c r="C175" s="209"/>
      <c r="D175" s="209"/>
      <c r="E175" s="209"/>
      <c r="F175" s="209"/>
      <c r="G175" s="209"/>
      <c r="H175" s="296"/>
      <c r="I175" s="296"/>
      <c r="J175" s="296"/>
      <c r="K175" s="296"/>
      <c r="L175" s="296"/>
      <c r="M175" s="296"/>
      <c r="N175" s="209"/>
      <c r="O175" s="209"/>
      <c r="P175" s="209"/>
      <c r="Q175" s="209"/>
      <c r="R175" s="209"/>
      <c r="S175" s="209"/>
      <c r="T175" s="209"/>
      <c r="U175" s="209"/>
      <c r="V175" s="209"/>
      <c r="W175" s="209"/>
      <c r="X175" s="209"/>
      <c r="Y175" s="209"/>
      <c r="Z175" s="209"/>
      <c r="AA175" s="209"/>
      <c r="AB175" s="209"/>
      <c r="AC175" s="209"/>
      <c r="AD175" s="209"/>
      <c r="AE175" s="209"/>
      <c r="AF175" s="209"/>
      <c r="AG175" s="209"/>
      <c r="AH175" s="209"/>
      <c r="AI175" s="209"/>
      <c r="AJ175" s="209"/>
      <c r="AK175" s="209"/>
      <c r="AL175" s="209"/>
      <c r="AM175" s="209"/>
      <c r="AN175" s="209"/>
      <c r="AO175" s="209"/>
      <c r="AP175" s="209"/>
    </row>
    <row r="176" spans="1:42" ht="15.75" customHeight="1">
      <c r="A176" s="209"/>
      <c r="B176" s="209"/>
      <c r="C176" s="209"/>
      <c r="D176" s="209"/>
      <c r="E176" s="209"/>
      <c r="F176" s="209"/>
      <c r="G176" s="209"/>
      <c r="H176" s="296"/>
      <c r="I176" s="296"/>
      <c r="J176" s="296"/>
      <c r="K176" s="296"/>
      <c r="L176" s="296"/>
      <c r="M176" s="296"/>
      <c r="N176" s="209"/>
      <c r="O176" s="209"/>
      <c r="P176" s="209"/>
      <c r="Q176" s="209"/>
      <c r="R176" s="209"/>
      <c r="S176" s="209"/>
      <c r="T176" s="209"/>
      <c r="U176" s="209"/>
      <c r="V176" s="209"/>
      <c r="W176" s="209"/>
      <c r="X176" s="209"/>
      <c r="Y176" s="209"/>
      <c r="Z176" s="209"/>
      <c r="AA176" s="209"/>
      <c r="AB176" s="209"/>
      <c r="AC176" s="209"/>
      <c r="AD176" s="209"/>
      <c r="AE176" s="209"/>
      <c r="AF176" s="209"/>
      <c r="AG176" s="209"/>
      <c r="AH176" s="209"/>
      <c r="AI176" s="209"/>
      <c r="AJ176" s="209"/>
      <c r="AK176" s="209"/>
      <c r="AL176" s="209"/>
      <c r="AM176" s="209"/>
      <c r="AN176" s="209"/>
      <c r="AO176" s="209"/>
      <c r="AP176" s="209"/>
    </row>
    <row r="177" spans="1:42" ht="15.75" customHeight="1">
      <c r="A177" s="209"/>
      <c r="B177" s="209"/>
      <c r="C177" s="209"/>
      <c r="D177" s="209"/>
      <c r="E177" s="209"/>
      <c r="F177" s="209"/>
      <c r="G177" s="209"/>
      <c r="H177" s="296"/>
      <c r="I177" s="296"/>
      <c r="J177" s="296"/>
      <c r="K177" s="296"/>
      <c r="L177" s="296"/>
      <c r="M177" s="296"/>
      <c r="N177" s="209"/>
      <c r="O177" s="209"/>
      <c r="P177" s="209"/>
      <c r="Q177" s="209"/>
      <c r="R177" s="209"/>
      <c r="S177" s="209"/>
      <c r="T177" s="209"/>
      <c r="U177" s="209"/>
      <c r="V177" s="209"/>
      <c r="W177" s="209"/>
      <c r="X177" s="209"/>
      <c r="Y177" s="209"/>
      <c r="Z177" s="209"/>
      <c r="AA177" s="209"/>
      <c r="AB177" s="209"/>
      <c r="AC177" s="209"/>
      <c r="AD177" s="209"/>
      <c r="AE177" s="209"/>
      <c r="AF177" s="209"/>
      <c r="AG177" s="209"/>
      <c r="AH177" s="209"/>
      <c r="AI177" s="209"/>
      <c r="AJ177" s="209"/>
      <c r="AK177" s="209"/>
      <c r="AL177" s="209"/>
      <c r="AM177" s="209"/>
      <c r="AN177" s="209"/>
      <c r="AO177" s="209"/>
      <c r="AP177" s="209"/>
    </row>
    <row r="178" spans="1:42" ht="15.75" customHeight="1">
      <c r="A178" s="209"/>
      <c r="B178" s="209"/>
      <c r="C178" s="209"/>
      <c r="D178" s="209"/>
      <c r="E178" s="209"/>
      <c r="F178" s="209"/>
      <c r="G178" s="209"/>
      <c r="H178" s="296"/>
      <c r="I178" s="296"/>
      <c r="J178" s="296"/>
      <c r="K178" s="296"/>
      <c r="L178" s="296"/>
      <c r="M178" s="296"/>
      <c r="N178" s="209"/>
      <c r="O178" s="209"/>
      <c r="P178" s="209"/>
      <c r="Q178" s="209"/>
      <c r="R178" s="209"/>
      <c r="S178" s="209"/>
      <c r="T178" s="209"/>
      <c r="U178" s="209"/>
      <c r="V178" s="209"/>
      <c r="W178" s="209"/>
      <c r="X178" s="209"/>
      <c r="Y178" s="209"/>
      <c r="Z178" s="209"/>
      <c r="AA178" s="209"/>
      <c r="AB178" s="209"/>
      <c r="AC178" s="209"/>
      <c r="AD178" s="209"/>
      <c r="AE178" s="209"/>
      <c r="AF178" s="209"/>
      <c r="AG178" s="209"/>
      <c r="AH178" s="209"/>
      <c r="AI178" s="209"/>
      <c r="AJ178" s="209"/>
      <c r="AK178" s="209"/>
      <c r="AL178" s="209"/>
      <c r="AM178" s="209"/>
      <c r="AN178" s="209"/>
      <c r="AO178" s="209"/>
      <c r="AP178" s="209"/>
    </row>
    <row r="179" spans="1:42" ht="15.75" customHeight="1">
      <c r="A179" s="209"/>
      <c r="B179" s="209"/>
      <c r="C179" s="209"/>
      <c r="D179" s="209"/>
      <c r="E179" s="209"/>
      <c r="F179" s="209"/>
      <c r="G179" s="209"/>
      <c r="H179" s="296"/>
      <c r="I179" s="296"/>
      <c r="J179" s="296"/>
      <c r="K179" s="296"/>
      <c r="L179" s="296"/>
      <c r="M179" s="296"/>
      <c r="N179" s="209"/>
      <c r="O179" s="209"/>
      <c r="P179" s="209"/>
      <c r="Q179" s="209"/>
      <c r="R179" s="209"/>
      <c r="S179" s="209"/>
      <c r="T179" s="209"/>
      <c r="U179" s="209"/>
      <c r="V179" s="209"/>
      <c r="W179" s="209"/>
      <c r="X179" s="209"/>
      <c r="Y179" s="209"/>
      <c r="Z179" s="209"/>
      <c r="AA179" s="209"/>
      <c r="AB179" s="209"/>
      <c r="AC179" s="209"/>
      <c r="AD179" s="209"/>
      <c r="AE179" s="209"/>
      <c r="AF179" s="209"/>
      <c r="AG179" s="209"/>
      <c r="AH179" s="209"/>
      <c r="AI179" s="209"/>
      <c r="AJ179" s="209"/>
      <c r="AK179" s="209"/>
      <c r="AL179" s="209"/>
      <c r="AM179" s="209"/>
      <c r="AN179" s="209"/>
      <c r="AO179" s="209"/>
      <c r="AP179" s="209"/>
    </row>
    <row r="180" spans="1:42" ht="15.75" customHeight="1">
      <c r="A180" s="209"/>
      <c r="B180" s="209"/>
      <c r="C180" s="209"/>
      <c r="D180" s="209"/>
      <c r="E180" s="209"/>
      <c r="F180" s="209"/>
      <c r="G180" s="209"/>
      <c r="H180" s="296"/>
      <c r="I180" s="296"/>
      <c r="J180" s="296"/>
      <c r="K180" s="296"/>
      <c r="L180" s="296"/>
      <c r="M180" s="296"/>
      <c r="N180" s="209"/>
      <c r="O180" s="209"/>
      <c r="P180" s="209"/>
      <c r="Q180" s="209"/>
      <c r="R180" s="209"/>
      <c r="S180" s="209"/>
      <c r="T180" s="209"/>
      <c r="U180" s="209"/>
      <c r="V180" s="209"/>
      <c r="W180" s="209"/>
      <c r="X180" s="209"/>
      <c r="Y180" s="209"/>
      <c r="Z180" s="209"/>
      <c r="AA180" s="209"/>
      <c r="AB180" s="209"/>
      <c r="AC180" s="209"/>
      <c r="AD180" s="209"/>
      <c r="AE180" s="209"/>
      <c r="AF180" s="209"/>
      <c r="AG180" s="209"/>
      <c r="AH180" s="209"/>
      <c r="AI180" s="209"/>
      <c r="AJ180" s="209"/>
      <c r="AK180" s="209"/>
      <c r="AL180" s="209"/>
      <c r="AM180" s="209"/>
      <c r="AN180" s="209"/>
      <c r="AO180" s="209"/>
      <c r="AP180" s="209"/>
    </row>
    <row r="181" spans="1:42" ht="15.75" customHeight="1">
      <c r="A181" s="209"/>
      <c r="B181" s="209"/>
      <c r="C181" s="209"/>
      <c r="D181" s="209"/>
      <c r="E181" s="209"/>
      <c r="F181" s="209"/>
      <c r="G181" s="209"/>
      <c r="H181" s="296"/>
      <c r="I181" s="296"/>
      <c r="J181" s="296"/>
      <c r="K181" s="296"/>
      <c r="L181" s="296"/>
      <c r="M181" s="296"/>
      <c r="N181" s="209"/>
      <c r="O181" s="209"/>
      <c r="P181" s="209"/>
      <c r="Q181" s="209"/>
      <c r="R181" s="209"/>
      <c r="S181" s="209"/>
      <c r="T181" s="209"/>
      <c r="U181" s="209"/>
      <c r="V181" s="209"/>
      <c r="W181" s="209"/>
      <c r="X181" s="209"/>
      <c r="Y181" s="209"/>
      <c r="Z181" s="209"/>
      <c r="AA181" s="209"/>
      <c r="AB181" s="209"/>
      <c r="AC181" s="209"/>
      <c r="AD181" s="209"/>
      <c r="AE181" s="209"/>
      <c r="AF181" s="209"/>
      <c r="AG181" s="209"/>
      <c r="AH181" s="209"/>
      <c r="AI181" s="209"/>
      <c r="AJ181" s="209"/>
      <c r="AK181" s="209"/>
      <c r="AL181" s="209"/>
      <c r="AM181" s="209"/>
      <c r="AN181" s="209"/>
      <c r="AO181" s="209"/>
      <c r="AP181" s="209"/>
    </row>
    <row r="182" spans="1:42" ht="15.75" customHeight="1">
      <c r="A182" s="209"/>
      <c r="B182" s="209"/>
      <c r="C182" s="209"/>
      <c r="D182" s="209"/>
      <c r="E182" s="209"/>
      <c r="F182" s="209"/>
      <c r="G182" s="209"/>
      <c r="H182" s="296"/>
      <c r="I182" s="296"/>
      <c r="J182" s="296"/>
      <c r="K182" s="296"/>
      <c r="L182" s="296"/>
      <c r="M182" s="296"/>
      <c r="N182" s="209"/>
      <c r="O182" s="209"/>
      <c r="P182" s="209"/>
      <c r="Q182" s="209"/>
      <c r="R182" s="209"/>
      <c r="S182" s="209"/>
      <c r="T182" s="209"/>
      <c r="U182" s="209"/>
      <c r="V182" s="209"/>
      <c r="W182" s="209"/>
      <c r="X182" s="209"/>
      <c r="Y182" s="209"/>
      <c r="Z182" s="209"/>
      <c r="AA182" s="209"/>
      <c r="AB182" s="209"/>
      <c r="AC182" s="209"/>
      <c r="AD182" s="209"/>
      <c r="AE182" s="209"/>
      <c r="AF182" s="209"/>
      <c r="AG182" s="209"/>
      <c r="AH182" s="209"/>
      <c r="AI182" s="209"/>
      <c r="AJ182" s="209"/>
      <c r="AK182" s="209"/>
      <c r="AL182" s="209"/>
      <c r="AM182" s="209"/>
      <c r="AN182" s="209"/>
      <c r="AO182" s="209"/>
      <c r="AP182" s="209"/>
    </row>
    <row r="183" spans="1:42" ht="15.75" customHeight="1">
      <c r="A183" s="209"/>
      <c r="B183" s="209"/>
      <c r="C183" s="209"/>
      <c r="D183" s="209"/>
      <c r="E183" s="209"/>
      <c r="F183" s="209"/>
      <c r="G183" s="209"/>
      <c r="H183" s="296"/>
      <c r="I183" s="296"/>
      <c r="J183" s="296"/>
      <c r="K183" s="296"/>
      <c r="L183" s="296"/>
      <c r="M183" s="296"/>
      <c r="N183" s="209"/>
      <c r="O183" s="209"/>
      <c r="P183" s="209"/>
      <c r="Q183" s="209"/>
      <c r="R183" s="209"/>
      <c r="S183" s="209"/>
      <c r="T183" s="209"/>
      <c r="U183" s="209"/>
      <c r="V183" s="209"/>
      <c r="W183" s="209"/>
      <c r="X183" s="209"/>
      <c r="Y183" s="209"/>
      <c r="Z183" s="209"/>
      <c r="AA183" s="209"/>
      <c r="AB183" s="209"/>
      <c r="AC183" s="209"/>
      <c r="AD183" s="209"/>
      <c r="AE183" s="209"/>
      <c r="AF183" s="209"/>
      <c r="AG183" s="209"/>
      <c r="AH183" s="209"/>
      <c r="AI183" s="209"/>
      <c r="AJ183" s="209"/>
      <c r="AK183" s="209"/>
      <c r="AL183" s="209"/>
      <c r="AM183" s="209"/>
      <c r="AN183" s="209"/>
      <c r="AO183" s="209"/>
      <c r="AP183" s="209"/>
    </row>
    <row r="184" spans="1:42" ht="15.75" customHeight="1">
      <c r="A184" s="209"/>
      <c r="B184" s="209"/>
      <c r="C184" s="209"/>
      <c r="D184" s="209"/>
      <c r="E184" s="209"/>
      <c r="F184" s="209"/>
      <c r="G184" s="209"/>
      <c r="H184" s="296"/>
      <c r="I184" s="296"/>
      <c r="J184" s="296"/>
      <c r="K184" s="296"/>
      <c r="L184" s="296"/>
      <c r="M184" s="296"/>
      <c r="N184" s="209"/>
      <c r="O184" s="209"/>
      <c r="P184" s="209"/>
      <c r="Q184" s="209"/>
      <c r="R184" s="209"/>
      <c r="S184" s="209"/>
      <c r="T184" s="209"/>
      <c r="U184" s="209"/>
      <c r="V184" s="209"/>
      <c r="W184" s="209"/>
      <c r="X184" s="209"/>
      <c r="Y184" s="209"/>
      <c r="Z184" s="209"/>
      <c r="AA184" s="209"/>
      <c r="AB184" s="209"/>
      <c r="AC184" s="209"/>
      <c r="AD184" s="209"/>
      <c r="AE184" s="209"/>
      <c r="AF184" s="209"/>
      <c r="AG184" s="209"/>
      <c r="AH184" s="209"/>
      <c r="AI184" s="209"/>
      <c r="AJ184" s="209"/>
      <c r="AK184" s="209"/>
      <c r="AL184" s="209"/>
      <c r="AM184" s="209"/>
      <c r="AN184" s="209"/>
      <c r="AO184" s="209"/>
      <c r="AP184" s="209"/>
    </row>
    <row r="185" spans="1:42" ht="15.75" customHeight="1">
      <c r="A185" s="209"/>
      <c r="B185" s="209"/>
      <c r="C185" s="209"/>
      <c r="D185" s="209"/>
      <c r="E185" s="209"/>
      <c r="F185" s="209"/>
      <c r="G185" s="209"/>
      <c r="H185" s="296"/>
      <c r="I185" s="296"/>
      <c r="J185" s="296"/>
      <c r="K185" s="296"/>
      <c r="L185" s="296"/>
      <c r="M185" s="296"/>
      <c r="N185" s="209"/>
      <c r="O185" s="209"/>
      <c r="P185" s="209"/>
      <c r="Q185" s="209"/>
      <c r="R185" s="209"/>
      <c r="S185" s="209"/>
      <c r="T185" s="209"/>
      <c r="U185" s="209"/>
      <c r="V185" s="209"/>
      <c r="W185" s="209"/>
      <c r="X185" s="209"/>
      <c r="Y185" s="209"/>
      <c r="Z185" s="209"/>
      <c r="AA185" s="209"/>
      <c r="AB185" s="209"/>
      <c r="AC185" s="209"/>
      <c r="AD185" s="209"/>
      <c r="AE185" s="209"/>
      <c r="AF185" s="209"/>
      <c r="AG185" s="209"/>
      <c r="AH185" s="209"/>
      <c r="AI185" s="209"/>
      <c r="AJ185" s="209"/>
      <c r="AK185" s="209"/>
      <c r="AL185" s="209"/>
      <c r="AM185" s="209"/>
      <c r="AN185" s="209"/>
      <c r="AO185" s="209"/>
      <c r="AP185" s="209"/>
    </row>
    <row r="186" spans="1:42" ht="15.75" customHeight="1">
      <c r="A186" s="209"/>
      <c r="B186" s="209"/>
      <c r="C186" s="209"/>
      <c r="D186" s="209"/>
      <c r="E186" s="209"/>
      <c r="F186" s="209"/>
      <c r="G186" s="209"/>
      <c r="H186" s="296"/>
      <c r="I186" s="296"/>
      <c r="J186" s="296"/>
      <c r="K186" s="296"/>
      <c r="L186" s="296"/>
      <c r="M186" s="296"/>
      <c r="N186" s="209"/>
      <c r="O186" s="209"/>
      <c r="P186" s="209"/>
      <c r="Q186" s="209"/>
      <c r="R186" s="209"/>
      <c r="S186" s="209"/>
      <c r="T186" s="209"/>
      <c r="U186" s="209"/>
      <c r="V186" s="209"/>
      <c r="W186" s="209"/>
      <c r="X186" s="209"/>
      <c r="Y186" s="209"/>
      <c r="Z186" s="209"/>
      <c r="AA186" s="209"/>
      <c r="AB186" s="209"/>
      <c r="AC186" s="209"/>
      <c r="AD186" s="209"/>
      <c r="AE186" s="209"/>
      <c r="AF186" s="209"/>
      <c r="AG186" s="209"/>
      <c r="AH186" s="209"/>
      <c r="AI186" s="209"/>
      <c r="AJ186" s="209"/>
      <c r="AK186" s="209"/>
      <c r="AL186" s="209"/>
      <c r="AM186" s="209"/>
      <c r="AN186" s="209"/>
      <c r="AO186" s="209"/>
      <c r="AP186" s="209"/>
    </row>
    <row r="187" spans="1:42" ht="15.75" customHeight="1">
      <c r="A187" s="209"/>
      <c r="B187" s="209"/>
      <c r="C187" s="209"/>
      <c r="D187" s="209"/>
      <c r="E187" s="209"/>
      <c r="F187" s="209"/>
      <c r="G187" s="209"/>
      <c r="H187" s="296"/>
      <c r="I187" s="296"/>
      <c r="J187" s="296"/>
      <c r="K187" s="296"/>
      <c r="L187" s="296"/>
      <c r="M187" s="296"/>
      <c r="N187" s="209"/>
      <c r="O187" s="209"/>
      <c r="P187" s="209"/>
      <c r="Q187" s="209"/>
      <c r="R187" s="209"/>
      <c r="S187" s="209"/>
      <c r="T187" s="209"/>
      <c r="U187" s="209"/>
      <c r="V187" s="209"/>
      <c r="W187" s="209"/>
      <c r="X187" s="209"/>
      <c r="Y187" s="209"/>
      <c r="Z187" s="209"/>
      <c r="AA187" s="209"/>
      <c r="AB187" s="209"/>
      <c r="AC187" s="209"/>
      <c r="AD187" s="209"/>
      <c r="AE187" s="209"/>
      <c r="AF187" s="209"/>
      <c r="AG187" s="209"/>
      <c r="AH187" s="209"/>
      <c r="AI187" s="209"/>
      <c r="AJ187" s="209"/>
      <c r="AK187" s="209"/>
      <c r="AL187" s="209"/>
      <c r="AM187" s="209"/>
      <c r="AN187" s="209"/>
      <c r="AO187" s="209"/>
      <c r="AP187" s="209"/>
    </row>
    <row r="188" spans="1:42" ht="15.75" customHeight="1">
      <c r="A188" s="209"/>
      <c r="B188" s="209"/>
      <c r="C188" s="209"/>
      <c r="D188" s="209"/>
      <c r="E188" s="209"/>
      <c r="F188" s="209"/>
      <c r="G188" s="209"/>
      <c r="H188" s="296"/>
      <c r="I188" s="296"/>
      <c r="J188" s="296"/>
      <c r="K188" s="296"/>
      <c r="L188" s="296"/>
      <c r="M188" s="296"/>
      <c r="N188" s="209"/>
      <c r="O188" s="209"/>
      <c r="P188" s="209"/>
      <c r="Q188" s="209"/>
      <c r="R188" s="209"/>
      <c r="S188" s="209"/>
      <c r="T188" s="209"/>
      <c r="U188" s="209"/>
      <c r="V188" s="209"/>
      <c r="W188" s="209"/>
      <c r="X188" s="209"/>
      <c r="Y188" s="209"/>
      <c r="Z188" s="209"/>
      <c r="AA188" s="209"/>
      <c r="AB188" s="209"/>
      <c r="AC188" s="209"/>
      <c r="AD188" s="209"/>
      <c r="AE188" s="209"/>
      <c r="AF188" s="209"/>
      <c r="AG188" s="209"/>
      <c r="AH188" s="209"/>
      <c r="AI188" s="209"/>
      <c r="AJ188" s="209"/>
      <c r="AK188" s="209"/>
      <c r="AL188" s="209"/>
      <c r="AM188" s="209"/>
      <c r="AN188" s="209"/>
      <c r="AO188" s="209"/>
      <c r="AP188" s="209"/>
    </row>
    <row r="189" spans="1:42" ht="15.75" customHeight="1">
      <c r="A189" s="209"/>
      <c r="B189" s="209"/>
      <c r="C189" s="209"/>
      <c r="D189" s="209"/>
      <c r="E189" s="209"/>
      <c r="F189" s="209"/>
      <c r="G189" s="209"/>
      <c r="H189" s="296"/>
      <c r="I189" s="296"/>
      <c r="J189" s="296"/>
      <c r="K189" s="296"/>
      <c r="L189" s="296"/>
      <c r="M189" s="296"/>
      <c r="N189" s="209"/>
      <c r="O189" s="209"/>
      <c r="P189" s="209"/>
      <c r="Q189" s="209"/>
      <c r="R189" s="209"/>
      <c r="S189" s="209"/>
      <c r="T189" s="209"/>
      <c r="U189" s="209"/>
      <c r="V189" s="209"/>
      <c r="W189" s="209"/>
      <c r="X189" s="209"/>
      <c r="Y189" s="209"/>
      <c r="Z189" s="209"/>
      <c r="AA189" s="209"/>
      <c r="AB189" s="209"/>
      <c r="AC189" s="209"/>
      <c r="AD189" s="209"/>
      <c r="AE189" s="209"/>
      <c r="AF189" s="209"/>
      <c r="AG189" s="209"/>
      <c r="AH189" s="209"/>
      <c r="AI189" s="209"/>
      <c r="AJ189" s="209"/>
      <c r="AK189" s="209"/>
      <c r="AL189" s="209"/>
      <c r="AM189" s="209"/>
      <c r="AN189" s="209"/>
      <c r="AO189" s="209"/>
      <c r="AP189" s="209"/>
    </row>
    <row r="190" spans="1:42" ht="15.75" customHeight="1">
      <c r="A190" s="209"/>
      <c r="B190" s="209"/>
      <c r="C190" s="209"/>
      <c r="D190" s="209"/>
      <c r="E190" s="209"/>
      <c r="F190" s="209"/>
      <c r="G190" s="209"/>
      <c r="H190" s="296"/>
      <c r="I190" s="296"/>
      <c r="J190" s="296"/>
      <c r="K190" s="296"/>
      <c r="L190" s="296"/>
      <c r="M190" s="296"/>
      <c r="N190" s="209"/>
      <c r="O190" s="209"/>
      <c r="P190" s="209"/>
      <c r="Q190" s="209"/>
      <c r="R190" s="209"/>
      <c r="S190" s="209"/>
      <c r="T190" s="209"/>
      <c r="U190" s="209"/>
      <c r="V190" s="209"/>
      <c r="W190" s="209"/>
      <c r="X190" s="209"/>
      <c r="Y190" s="209"/>
      <c r="Z190" s="209"/>
      <c r="AA190" s="209"/>
      <c r="AB190" s="209"/>
      <c r="AC190" s="209"/>
      <c r="AD190" s="209"/>
      <c r="AE190" s="209"/>
      <c r="AF190" s="209"/>
      <c r="AG190" s="209"/>
      <c r="AH190" s="209"/>
      <c r="AI190" s="209"/>
      <c r="AJ190" s="209"/>
      <c r="AK190" s="209"/>
      <c r="AL190" s="209"/>
      <c r="AM190" s="209"/>
      <c r="AN190" s="209"/>
      <c r="AO190" s="209"/>
      <c r="AP190" s="209"/>
    </row>
    <row r="191" spans="1:42" ht="15.75" customHeight="1">
      <c r="A191" s="209"/>
      <c r="B191" s="209"/>
      <c r="C191" s="209"/>
      <c r="D191" s="209"/>
      <c r="E191" s="209"/>
      <c r="F191" s="209"/>
      <c r="G191" s="209"/>
      <c r="H191" s="296"/>
      <c r="I191" s="296"/>
      <c r="J191" s="296"/>
      <c r="K191" s="296"/>
      <c r="L191" s="296"/>
      <c r="M191" s="296"/>
      <c r="N191" s="209"/>
      <c r="O191" s="209"/>
      <c r="P191" s="209"/>
      <c r="Q191" s="209"/>
      <c r="R191" s="209"/>
      <c r="S191" s="209"/>
      <c r="T191" s="209"/>
      <c r="U191" s="209"/>
      <c r="V191" s="209"/>
      <c r="W191" s="209"/>
      <c r="X191" s="209"/>
      <c r="Y191" s="209"/>
      <c r="Z191" s="209"/>
      <c r="AA191" s="209"/>
      <c r="AB191" s="209"/>
      <c r="AC191" s="209"/>
      <c r="AD191" s="209"/>
      <c r="AE191" s="209"/>
      <c r="AF191" s="209"/>
      <c r="AG191" s="209"/>
      <c r="AH191" s="209"/>
      <c r="AI191" s="209"/>
      <c r="AJ191" s="209"/>
      <c r="AK191" s="209"/>
      <c r="AL191" s="209"/>
      <c r="AM191" s="209"/>
      <c r="AN191" s="209"/>
      <c r="AO191" s="209"/>
      <c r="AP191" s="209"/>
    </row>
    <row r="192" spans="1:42" ht="15.75" customHeight="1">
      <c r="A192" s="209"/>
      <c r="B192" s="209"/>
      <c r="C192" s="209"/>
      <c r="D192" s="209"/>
      <c r="E192" s="209"/>
      <c r="F192" s="209"/>
      <c r="G192" s="209"/>
      <c r="H192" s="296"/>
      <c r="I192" s="296"/>
      <c r="J192" s="296"/>
      <c r="K192" s="296"/>
      <c r="L192" s="296"/>
      <c r="M192" s="296"/>
      <c r="N192" s="209"/>
      <c r="O192" s="209"/>
      <c r="P192" s="209"/>
      <c r="Q192" s="209"/>
      <c r="R192" s="209"/>
      <c r="S192" s="209"/>
      <c r="T192" s="209"/>
      <c r="U192" s="209"/>
      <c r="V192" s="209"/>
      <c r="W192" s="209"/>
      <c r="X192" s="209"/>
      <c r="Y192" s="209"/>
      <c r="Z192" s="209"/>
      <c r="AA192" s="209"/>
      <c r="AB192" s="209"/>
      <c r="AC192" s="209"/>
      <c r="AD192" s="209"/>
      <c r="AE192" s="209"/>
      <c r="AF192" s="209"/>
      <c r="AG192" s="209"/>
      <c r="AH192" s="209"/>
      <c r="AI192" s="209"/>
      <c r="AJ192" s="209"/>
      <c r="AK192" s="209"/>
      <c r="AL192" s="209"/>
      <c r="AM192" s="209"/>
      <c r="AN192" s="209"/>
      <c r="AO192" s="209"/>
      <c r="AP192" s="209"/>
    </row>
    <row r="193" spans="1:42" ht="15.75" customHeight="1">
      <c r="A193" s="209"/>
      <c r="B193" s="209"/>
      <c r="C193" s="209"/>
      <c r="D193" s="209"/>
      <c r="E193" s="209"/>
      <c r="F193" s="209"/>
      <c r="G193" s="209"/>
      <c r="H193" s="296"/>
      <c r="I193" s="296"/>
      <c r="J193" s="296"/>
      <c r="K193" s="296"/>
      <c r="L193" s="296"/>
      <c r="M193" s="296"/>
      <c r="N193" s="209"/>
      <c r="O193" s="209"/>
      <c r="P193" s="209"/>
      <c r="Q193" s="209"/>
      <c r="R193" s="209"/>
      <c r="S193" s="209"/>
      <c r="T193" s="209"/>
      <c r="U193" s="209"/>
      <c r="V193" s="209"/>
      <c r="W193" s="209"/>
      <c r="X193" s="209"/>
      <c r="Y193" s="209"/>
      <c r="Z193" s="209"/>
      <c r="AA193" s="209"/>
      <c r="AB193" s="209"/>
      <c r="AC193" s="209"/>
      <c r="AD193" s="209"/>
      <c r="AE193" s="209"/>
      <c r="AF193" s="209"/>
      <c r="AG193" s="209"/>
      <c r="AH193" s="209"/>
      <c r="AI193" s="209"/>
      <c r="AJ193" s="209"/>
      <c r="AK193" s="209"/>
      <c r="AL193" s="209"/>
      <c r="AM193" s="209"/>
      <c r="AN193" s="209"/>
      <c r="AO193" s="209"/>
      <c r="AP193" s="209"/>
    </row>
    <row r="194" spans="1:42" ht="15.75" customHeight="1">
      <c r="A194" s="209"/>
      <c r="B194" s="209"/>
      <c r="C194" s="209"/>
      <c r="D194" s="209"/>
      <c r="E194" s="209"/>
      <c r="F194" s="209"/>
      <c r="G194" s="209"/>
      <c r="H194" s="296"/>
      <c r="I194" s="296"/>
      <c r="J194" s="296"/>
      <c r="K194" s="296"/>
      <c r="L194" s="296"/>
      <c r="M194" s="296"/>
      <c r="N194" s="209"/>
      <c r="O194" s="209"/>
      <c r="P194" s="209"/>
      <c r="Q194" s="209"/>
      <c r="R194" s="209"/>
      <c r="S194" s="209"/>
      <c r="T194" s="209"/>
      <c r="U194" s="209"/>
      <c r="V194" s="209"/>
      <c r="W194" s="209"/>
      <c r="X194" s="209"/>
      <c r="Y194" s="209"/>
      <c r="Z194" s="209"/>
      <c r="AA194" s="209"/>
      <c r="AB194" s="209"/>
      <c r="AC194" s="209"/>
      <c r="AD194" s="209"/>
      <c r="AE194" s="209"/>
      <c r="AF194" s="209"/>
      <c r="AG194" s="209"/>
      <c r="AH194" s="209"/>
      <c r="AI194" s="209"/>
      <c r="AJ194" s="209"/>
      <c r="AK194" s="209"/>
      <c r="AL194" s="209"/>
      <c r="AM194" s="209"/>
      <c r="AN194" s="209"/>
      <c r="AO194" s="209"/>
      <c r="AP194" s="209"/>
    </row>
    <row r="195" spans="1:42" ht="15.75" customHeight="1">
      <c r="A195" s="209"/>
      <c r="B195" s="209"/>
      <c r="C195" s="209"/>
      <c r="D195" s="209"/>
      <c r="E195" s="209"/>
      <c r="F195" s="209"/>
      <c r="G195" s="209"/>
      <c r="H195" s="296"/>
      <c r="I195" s="296"/>
      <c r="J195" s="296"/>
      <c r="K195" s="296"/>
      <c r="L195" s="296"/>
      <c r="M195" s="296"/>
      <c r="N195" s="209"/>
      <c r="O195" s="209"/>
      <c r="P195" s="209"/>
      <c r="Q195" s="209"/>
      <c r="R195" s="209"/>
      <c r="S195" s="209"/>
      <c r="T195" s="209"/>
      <c r="U195" s="209"/>
      <c r="V195" s="209"/>
      <c r="W195" s="209"/>
      <c r="X195" s="209"/>
      <c r="Y195" s="209"/>
      <c r="Z195" s="209"/>
      <c r="AA195" s="209"/>
      <c r="AB195" s="209"/>
      <c r="AC195" s="209"/>
      <c r="AD195" s="209"/>
      <c r="AE195" s="209"/>
      <c r="AF195" s="209"/>
      <c r="AG195" s="209"/>
      <c r="AH195" s="209"/>
      <c r="AI195" s="209"/>
      <c r="AJ195" s="209"/>
      <c r="AK195" s="209"/>
      <c r="AL195" s="209"/>
      <c r="AM195" s="209"/>
      <c r="AN195" s="209"/>
      <c r="AO195" s="209"/>
      <c r="AP195" s="209"/>
    </row>
    <row r="196" spans="1:42" ht="15.75" customHeight="1">
      <c r="A196" s="209"/>
      <c r="B196" s="209"/>
      <c r="C196" s="209"/>
      <c r="D196" s="209"/>
      <c r="E196" s="209"/>
      <c r="F196" s="209"/>
      <c r="G196" s="209"/>
      <c r="H196" s="296"/>
      <c r="I196" s="296"/>
      <c r="J196" s="296"/>
      <c r="K196" s="296"/>
      <c r="L196" s="296"/>
      <c r="M196" s="296"/>
      <c r="N196" s="209"/>
      <c r="O196" s="209"/>
      <c r="P196" s="209"/>
      <c r="Q196" s="209"/>
      <c r="R196" s="209"/>
      <c r="S196" s="209"/>
      <c r="T196" s="209"/>
      <c r="U196" s="209"/>
      <c r="V196" s="209"/>
      <c r="W196" s="209"/>
      <c r="X196" s="209"/>
      <c r="Y196" s="209"/>
      <c r="Z196" s="209"/>
      <c r="AA196" s="209"/>
      <c r="AB196" s="209"/>
      <c r="AC196" s="209"/>
      <c r="AD196" s="209"/>
      <c r="AE196" s="209"/>
      <c r="AF196" s="209"/>
      <c r="AG196" s="209"/>
      <c r="AH196" s="209"/>
      <c r="AI196" s="209"/>
      <c r="AJ196" s="209"/>
      <c r="AK196" s="209"/>
      <c r="AL196" s="209"/>
      <c r="AM196" s="209"/>
      <c r="AN196" s="209"/>
      <c r="AO196" s="209"/>
      <c r="AP196" s="209"/>
    </row>
    <row r="197" spans="1:42" ht="15.75" customHeight="1">
      <c r="A197" s="209"/>
      <c r="B197" s="209"/>
      <c r="C197" s="209"/>
      <c r="D197" s="209"/>
      <c r="E197" s="209"/>
      <c r="F197" s="209"/>
      <c r="G197" s="209"/>
      <c r="H197" s="296"/>
      <c r="I197" s="296"/>
      <c r="J197" s="296"/>
      <c r="K197" s="296"/>
      <c r="L197" s="296"/>
      <c r="M197" s="296"/>
      <c r="N197" s="209"/>
      <c r="O197" s="209"/>
      <c r="P197" s="209"/>
      <c r="Q197" s="209"/>
      <c r="R197" s="209"/>
      <c r="S197" s="209"/>
      <c r="T197" s="209"/>
      <c r="U197" s="209"/>
      <c r="V197" s="209"/>
      <c r="W197" s="209"/>
      <c r="X197" s="209"/>
      <c r="Y197" s="209"/>
      <c r="Z197" s="209"/>
      <c r="AA197" s="209"/>
      <c r="AB197" s="209"/>
      <c r="AC197" s="209"/>
      <c r="AD197" s="209"/>
      <c r="AE197" s="209"/>
      <c r="AF197" s="209"/>
      <c r="AG197" s="209"/>
      <c r="AH197" s="209"/>
      <c r="AI197" s="209"/>
      <c r="AJ197" s="209"/>
      <c r="AK197" s="209"/>
      <c r="AL197" s="209"/>
      <c r="AM197" s="209"/>
      <c r="AN197" s="209"/>
      <c r="AO197" s="209"/>
      <c r="AP197" s="209"/>
    </row>
    <row r="198" spans="1:42" ht="15.75" customHeight="1">
      <c r="A198" s="209"/>
      <c r="B198" s="209"/>
      <c r="C198" s="209"/>
      <c r="D198" s="209"/>
      <c r="E198" s="209"/>
      <c r="F198" s="209"/>
      <c r="G198" s="209"/>
      <c r="H198" s="296"/>
      <c r="I198" s="296"/>
      <c r="J198" s="296"/>
      <c r="K198" s="296"/>
      <c r="L198" s="296"/>
      <c r="M198" s="296"/>
      <c r="N198" s="209"/>
      <c r="O198" s="209"/>
      <c r="P198" s="209"/>
      <c r="Q198" s="209"/>
      <c r="R198" s="209"/>
      <c r="S198" s="209"/>
      <c r="T198" s="209"/>
      <c r="U198" s="209"/>
      <c r="V198" s="209"/>
      <c r="W198" s="209"/>
      <c r="X198" s="209"/>
      <c r="Y198" s="209"/>
      <c r="Z198" s="209"/>
      <c r="AA198" s="209"/>
      <c r="AB198" s="209"/>
      <c r="AC198" s="209"/>
      <c r="AD198" s="209"/>
      <c r="AE198" s="209"/>
      <c r="AF198" s="209"/>
      <c r="AG198" s="209"/>
      <c r="AH198" s="209"/>
      <c r="AI198" s="209"/>
      <c r="AJ198" s="209"/>
      <c r="AK198" s="209"/>
      <c r="AL198" s="209"/>
      <c r="AM198" s="209"/>
      <c r="AN198" s="209"/>
      <c r="AO198" s="209"/>
      <c r="AP198" s="209"/>
    </row>
    <row r="199" spans="1:42" ht="15.75" customHeight="1">
      <c r="A199" s="209"/>
      <c r="B199" s="209"/>
      <c r="C199" s="209"/>
      <c r="D199" s="209"/>
      <c r="E199" s="209"/>
      <c r="F199" s="209"/>
      <c r="G199" s="209"/>
      <c r="H199" s="296"/>
      <c r="I199" s="296"/>
      <c r="J199" s="296"/>
      <c r="K199" s="296"/>
      <c r="L199" s="296"/>
      <c r="M199" s="296"/>
      <c r="N199" s="209"/>
      <c r="O199" s="209"/>
      <c r="P199" s="209"/>
      <c r="Q199" s="209"/>
      <c r="R199" s="209"/>
      <c r="S199" s="209"/>
      <c r="T199" s="209"/>
      <c r="U199" s="209"/>
      <c r="V199" s="209"/>
      <c r="W199" s="209"/>
      <c r="X199" s="209"/>
      <c r="Y199" s="209"/>
      <c r="Z199" s="209"/>
      <c r="AA199" s="209"/>
      <c r="AB199" s="209"/>
      <c r="AC199" s="209"/>
      <c r="AD199" s="209"/>
      <c r="AE199" s="209"/>
      <c r="AF199" s="209"/>
      <c r="AG199" s="209"/>
      <c r="AH199" s="209"/>
      <c r="AI199" s="209"/>
      <c r="AJ199" s="209"/>
      <c r="AK199" s="209"/>
      <c r="AL199" s="209"/>
      <c r="AM199" s="209"/>
      <c r="AN199" s="209"/>
      <c r="AO199" s="209"/>
      <c r="AP199" s="209"/>
    </row>
    <row r="200" spans="1:42" ht="15.75" customHeight="1">
      <c r="A200" s="209"/>
      <c r="B200" s="209"/>
      <c r="C200" s="209"/>
      <c r="D200" s="209"/>
      <c r="E200" s="209"/>
      <c r="F200" s="209"/>
      <c r="G200" s="209"/>
      <c r="H200" s="296"/>
      <c r="I200" s="296"/>
      <c r="J200" s="296"/>
      <c r="K200" s="296"/>
      <c r="L200" s="296"/>
      <c r="M200" s="296"/>
      <c r="N200" s="209"/>
      <c r="O200" s="209"/>
      <c r="P200" s="209"/>
      <c r="Q200" s="209"/>
      <c r="R200" s="209"/>
      <c r="S200" s="209"/>
      <c r="T200" s="209"/>
      <c r="U200" s="209"/>
      <c r="V200" s="209"/>
      <c r="W200" s="209"/>
      <c r="X200" s="209"/>
      <c r="Y200" s="209"/>
      <c r="Z200" s="209"/>
      <c r="AA200" s="209"/>
      <c r="AB200" s="209"/>
      <c r="AC200" s="209"/>
      <c r="AD200" s="209"/>
      <c r="AE200" s="209"/>
      <c r="AF200" s="209"/>
      <c r="AG200" s="209"/>
      <c r="AH200" s="209"/>
      <c r="AI200" s="209"/>
      <c r="AJ200" s="209"/>
      <c r="AK200" s="209"/>
      <c r="AL200" s="209"/>
      <c r="AM200" s="209"/>
      <c r="AN200" s="209"/>
      <c r="AO200" s="209"/>
      <c r="AP200" s="209"/>
    </row>
    <row r="201" spans="1:42" ht="15.75" customHeight="1">
      <c r="A201" s="209"/>
      <c r="B201" s="209"/>
      <c r="C201" s="209"/>
      <c r="D201" s="209"/>
      <c r="E201" s="209"/>
      <c r="F201" s="209"/>
      <c r="G201" s="209"/>
      <c r="H201" s="296"/>
      <c r="I201" s="296"/>
      <c r="J201" s="296"/>
      <c r="K201" s="296"/>
      <c r="L201" s="296"/>
      <c r="M201" s="296"/>
      <c r="N201" s="209"/>
      <c r="O201" s="209"/>
      <c r="P201" s="209"/>
      <c r="Q201" s="209"/>
      <c r="R201" s="209"/>
      <c r="S201" s="209"/>
      <c r="T201" s="209"/>
      <c r="U201" s="209"/>
      <c r="V201" s="209"/>
      <c r="W201" s="209"/>
      <c r="X201" s="209"/>
      <c r="Y201" s="209"/>
      <c r="Z201" s="209"/>
      <c r="AA201" s="209"/>
      <c r="AB201" s="209"/>
      <c r="AC201" s="209"/>
      <c r="AD201" s="209"/>
      <c r="AE201" s="209"/>
      <c r="AF201" s="209"/>
      <c r="AG201" s="209"/>
      <c r="AH201" s="209"/>
      <c r="AI201" s="209"/>
      <c r="AJ201" s="209"/>
      <c r="AK201" s="209"/>
      <c r="AL201" s="209"/>
      <c r="AM201" s="209"/>
      <c r="AN201" s="209"/>
      <c r="AO201" s="209"/>
      <c r="AP201" s="209"/>
    </row>
    <row r="202" spans="1:42" ht="15.75" customHeight="1">
      <c r="A202" s="209"/>
      <c r="B202" s="209"/>
      <c r="C202" s="209"/>
      <c r="D202" s="209"/>
      <c r="E202" s="209"/>
      <c r="F202" s="209"/>
      <c r="G202" s="209"/>
      <c r="H202" s="296"/>
      <c r="I202" s="296"/>
      <c r="J202" s="296"/>
      <c r="K202" s="296"/>
      <c r="L202" s="296"/>
      <c r="M202" s="296"/>
      <c r="N202" s="209"/>
      <c r="O202" s="209"/>
      <c r="P202" s="209"/>
      <c r="Q202" s="209"/>
      <c r="R202" s="209"/>
      <c r="S202" s="209"/>
      <c r="T202" s="209"/>
      <c r="U202" s="209"/>
      <c r="V202" s="209"/>
      <c r="W202" s="209"/>
      <c r="X202" s="209"/>
      <c r="Y202" s="209"/>
      <c r="Z202" s="209"/>
      <c r="AA202" s="209"/>
      <c r="AB202" s="209"/>
      <c r="AC202" s="209"/>
      <c r="AD202" s="209"/>
      <c r="AE202" s="209"/>
      <c r="AF202" s="209"/>
      <c r="AG202" s="209"/>
      <c r="AH202" s="209"/>
      <c r="AI202" s="209"/>
      <c r="AJ202" s="209"/>
      <c r="AK202" s="209"/>
      <c r="AL202" s="209"/>
      <c r="AM202" s="209"/>
      <c r="AN202" s="209"/>
      <c r="AO202" s="209"/>
      <c r="AP202" s="209"/>
    </row>
    <row r="203" spans="1:42" ht="15.75" customHeight="1">
      <c r="A203" s="209"/>
      <c r="B203" s="209"/>
      <c r="C203" s="209"/>
      <c r="D203" s="209"/>
      <c r="E203" s="209"/>
      <c r="F203" s="209"/>
      <c r="G203" s="209"/>
      <c r="H203" s="296"/>
      <c r="I203" s="296"/>
      <c r="J203" s="296"/>
      <c r="K203" s="296"/>
      <c r="L203" s="296"/>
      <c r="M203" s="296"/>
      <c r="N203" s="209"/>
      <c r="O203" s="209"/>
      <c r="P203" s="209"/>
      <c r="Q203" s="209"/>
      <c r="R203" s="209"/>
      <c r="S203" s="209"/>
      <c r="T203" s="209"/>
      <c r="U203" s="209"/>
      <c r="V203" s="209"/>
      <c r="W203" s="209"/>
      <c r="X203" s="209"/>
      <c r="Y203" s="209"/>
      <c r="Z203" s="209"/>
      <c r="AA203" s="209"/>
      <c r="AB203" s="209"/>
      <c r="AC203" s="209"/>
      <c r="AD203" s="209"/>
      <c r="AE203" s="209"/>
      <c r="AF203" s="209"/>
      <c r="AG203" s="209"/>
      <c r="AH203" s="209"/>
      <c r="AI203" s="209"/>
      <c r="AJ203" s="209"/>
      <c r="AK203" s="209"/>
      <c r="AL203" s="209"/>
      <c r="AM203" s="209"/>
      <c r="AN203" s="209"/>
      <c r="AO203" s="209"/>
      <c r="AP203" s="209"/>
    </row>
    <row r="204" spans="1:42" ht="15.75" customHeight="1">
      <c r="A204" s="209"/>
      <c r="B204" s="209"/>
      <c r="C204" s="209"/>
      <c r="D204" s="209"/>
      <c r="E204" s="209"/>
      <c r="F204" s="209"/>
      <c r="G204" s="209"/>
      <c r="H204" s="296"/>
      <c r="I204" s="296"/>
      <c r="J204" s="296"/>
      <c r="K204" s="296"/>
      <c r="L204" s="296"/>
      <c r="M204" s="296"/>
      <c r="N204" s="209"/>
      <c r="O204" s="209"/>
      <c r="P204" s="209"/>
      <c r="Q204" s="209"/>
      <c r="R204" s="209"/>
      <c r="S204" s="209"/>
      <c r="T204" s="209"/>
      <c r="U204" s="209"/>
      <c r="V204" s="209"/>
      <c r="W204" s="209"/>
      <c r="X204" s="209"/>
      <c r="Y204" s="209"/>
      <c r="Z204" s="209"/>
      <c r="AA204" s="209"/>
      <c r="AB204" s="209"/>
      <c r="AC204" s="209"/>
      <c r="AD204" s="209"/>
      <c r="AE204" s="209"/>
      <c r="AF204" s="209"/>
      <c r="AG204" s="209"/>
      <c r="AH204" s="209"/>
      <c r="AI204" s="209"/>
      <c r="AJ204" s="209"/>
      <c r="AK204" s="209"/>
      <c r="AL204" s="209"/>
      <c r="AM204" s="209"/>
      <c r="AN204" s="209"/>
      <c r="AO204" s="209"/>
      <c r="AP204" s="209"/>
    </row>
    <row r="205" spans="1:42" ht="15.75" customHeight="1">
      <c r="A205" s="209"/>
      <c r="B205" s="209"/>
      <c r="C205" s="209"/>
      <c r="D205" s="209"/>
      <c r="E205" s="209"/>
      <c r="F205" s="209"/>
      <c r="G205" s="209"/>
      <c r="H205" s="296"/>
      <c r="I205" s="296"/>
      <c r="J205" s="296"/>
      <c r="K205" s="296"/>
      <c r="L205" s="296"/>
      <c r="M205" s="296"/>
      <c r="N205" s="209"/>
      <c r="O205" s="209"/>
      <c r="P205" s="209"/>
      <c r="Q205" s="209"/>
      <c r="R205" s="209"/>
      <c r="S205" s="209"/>
      <c r="T205" s="209"/>
      <c r="U205" s="209"/>
      <c r="V205" s="209"/>
      <c r="W205" s="209"/>
      <c r="X205" s="209"/>
      <c r="Y205" s="209"/>
      <c r="Z205" s="209"/>
      <c r="AA205" s="209"/>
      <c r="AB205" s="209"/>
      <c r="AC205" s="209"/>
      <c r="AD205" s="209"/>
      <c r="AE205" s="209"/>
      <c r="AF205" s="209"/>
      <c r="AG205" s="209"/>
      <c r="AH205" s="209"/>
      <c r="AI205" s="209"/>
      <c r="AJ205" s="209"/>
      <c r="AK205" s="209"/>
      <c r="AL205" s="209"/>
      <c r="AM205" s="209"/>
      <c r="AN205" s="209"/>
      <c r="AO205" s="209"/>
      <c r="AP205" s="209"/>
    </row>
    <row r="206" spans="1:42" ht="15.75" customHeight="1">
      <c r="A206" s="209"/>
      <c r="B206" s="209"/>
      <c r="C206" s="209"/>
      <c r="D206" s="209"/>
      <c r="E206" s="209"/>
      <c r="F206" s="209"/>
      <c r="G206" s="209"/>
      <c r="H206" s="296"/>
      <c r="I206" s="296"/>
      <c r="J206" s="296"/>
      <c r="K206" s="296"/>
      <c r="L206" s="296"/>
      <c r="M206" s="296"/>
      <c r="N206" s="209"/>
      <c r="O206" s="209"/>
      <c r="P206" s="209"/>
      <c r="Q206" s="209"/>
      <c r="R206" s="209"/>
      <c r="S206" s="209"/>
      <c r="T206" s="209"/>
      <c r="U206" s="209"/>
      <c r="V206" s="209"/>
      <c r="W206" s="209"/>
      <c r="X206" s="209"/>
      <c r="Y206" s="209"/>
      <c r="Z206" s="209"/>
      <c r="AA206" s="209"/>
      <c r="AB206" s="209"/>
      <c r="AC206" s="209"/>
      <c r="AD206" s="209"/>
      <c r="AE206" s="209"/>
      <c r="AF206" s="209"/>
      <c r="AG206" s="209"/>
      <c r="AH206" s="209"/>
      <c r="AI206" s="209"/>
      <c r="AJ206" s="209"/>
      <c r="AK206" s="209"/>
      <c r="AL206" s="209"/>
      <c r="AM206" s="209"/>
      <c r="AN206" s="209"/>
      <c r="AO206" s="209"/>
      <c r="AP206" s="209"/>
    </row>
    <row r="207" spans="1:42" ht="15.75" customHeight="1">
      <c r="A207" s="209"/>
      <c r="B207" s="209"/>
      <c r="C207" s="209"/>
      <c r="D207" s="209"/>
      <c r="E207" s="209"/>
      <c r="F207" s="209"/>
      <c r="G207" s="209"/>
      <c r="H207" s="296"/>
      <c r="I207" s="296"/>
      <c r="J207" s="296"/>
      <c r="K207" s="296"/>
      <c r="L207" s="296"/>
      <c r="M207" s="296"/>
      <c r="N207" s="209"/>
      <c r="O207" s="209"/>
      <c r="P207" s="209"/>
      <c r="Q207" s="209"/>
      <c r="R207" s="209"/>
      <c r="S207" s="209"/>
      <c r="T207" s="209"/>
      <c r="U207" s="209"/>
      <c r="V207" s="209"/>
      <c r="W207" s="209"/>
      <c r="X207" s="209"/>
      <c r="Y207" s="209"/>
      <c r="Z207" s="209"/>
      <c r="AA207" s="209"/>
      <c r="AB207" s="209"/>
      <c r="AC207" s="209"/>
      <c r="AD207" s="209"/>
      <c r="AE207" s="209"/>
      <c r="AF207" s="209"/>
      <c r="AG207" s="209"/>
      <c r="AH207" s="209"/>
      <c r="AI207" s="209"/>
      <c r="AJ207" s="209"/>
      <c r="AK207" s="209"/>
      <c r="AL207" s="209"/>
      <c r="AM207" s="209"/>
      <c r="AN207" s="209"/>
      <c r="AO207" s="209"/>
      <c r="AP207" s="209"/>
    </row>
    <row r="208" spans="1:42" ht="15.75" customHeight="1">
      <c r="A208" s="209"/>
      <c r="B208" s="209"/>
      <c r="C208" s="209"/>
      <c r="D208" s="209"/>
      <c r="E208" s="209"/>
      <c r="F208" s="209"/>
      <c r="G208" s="209"/>
      <c r="H208" s="296"/>
      <c r="I208" s="296"/>
      <c r="J208" s="296"/>
      <c r="K208" s="296"/>
      <c r="L208" s="296"/>
      <c r="M208" s="296"/>
      <c r="N208" s="209"/>
      <c r="O208" s="209"/>
      <c r="P208" s="209"/>
      <c r="Q208" s="209"/>
      <c r="R208" s="209"/>
      <c r="S208" s="209"/>
      <c r="T208" s="209"/>
      <c r="U208" s="209"/>
      <c r="V208" s="209"/>
      <c r="W208" s="209"/>
      <c r="X208" s="209"/>
      <c r="Y208" s="209"/>
      <c r="Z208" s="209"/>
      <c r="AA208" s="209"/>
      <c r="AB208" s="209"/>
      <c r="AC208" s="209"/>
      <c r="AD208" s="209"/>
      <c r="AE208" s="209"/>
      <c r="AF208" s="209"/>
      <c r="AG208" s="209"/>
      <c r="AH208" s="209"/>
      <c r="AI208" s="209"/>
      <c r="AJ208" s="209"/>
      <c r="AK208" s="209"/>
      <c r="AL208" s="209"/>
      <c r="AM208" s="209"/>
      <c r="AN208" s="209"/>
      <c r="AO208" s="209"/>
      <c r="AP208" s="209"/>
    </row>
    <row r="209" spans="1:42" ht="15.75" customHeight="1">
      <c r="A209" s="209"/>
      <c r="B209" s="209"/>
      <c r="C209" s="209"/>
      <c r="D209" s="209"/>
      <c r="E209" s="209"/>
      <c r="F209" s="209"/>
      <c r="G209" s="209"/>
      <c r="H209" s="296"/>
      <c r="I209" s="296"/>
      <c r="J209" s="296"/>
      <c r="K209" s="296"/>
      <c r="L209" s="296"/>
      <c r="M209" s="296"/>
      <c r="N209" s="209"/>
      <c r="O209" s="209"/>
      <c r="P209" s="209"/>
      <c r="Q209" s="209"/>
      <c r="R209" s="209"/>
      <c r="S209" s="209"/>
      <c r="T209" s="209"/>
      <c r="U209" s="209"/>
      <c r="V209" s="209"/>
      <c r="W209" s="209"/>
      <c r="X209" s="209"/>
      <c r="Y209" s="209"/>
      <c r="Z209" s="209"/>
      <c r="AA209" s="209"/>
      <c r="AB209" s="209"/>
      <c r="AC209" s="209"/>
      <c r="AD209" s="209"/>
      <c r="AE209" s="209"/>
      <c r="AF209" s="209"/>
      <c r="AG209" s="209"/>
      <c r="AH209" s="209"/>
      <c r="AI209" s="209"/>
      <c r="AJ209" s="209"/>
      <c r="AK209" s="209"/>
      <c r="AL209" s="209"/>
      <c r="AM209" s="209"/>
      <c r="AN209" s="209"/>
      <c r="AO209" s="209"/>
      <c r="AP209" s="209"/>
    </row>
    <row r="210" spans="1:42" ht="15.75" customHeight="1">
      <c r="A210" s="209"/>
      <c r="B210" s="209"/>
      <c r="C210" s="209"/>
      <c r="D210" s="209"/>
      <c r="E210" s="209"/>
      <c r="F210" s="209"/>
      <c r="G210" s="209"/>
      <c r="H210" s="296"/>
      <c r="I210" s="296"/>
      <c r="J210" s="296"/>
      <c r="K210" s="296"/>
      <c r="L210" s="296"/>
      <c r="M210" s="296"/>
      <c r="N210" s="209"/>
      <c r="O210" s="209"/>
      <c r="P210" s="209"/>
      <c r="Q210" s="209"/>
      <c r="R210" s="209"/>
      <c r="S210" s="209"/>
      <c r="T210" s="209"/>
      <c r="U210" s="209"/>
      <c r="V210" s="209"/>
      <c r="W210" s="209"/>
      <c r="X210" s="209"/>
      <c r="Y210" s="209"/>
      <c r="Z210" s="209"/>
      <c r="AA210" s="209"/>
      <c r="AB210" s="209"/>
      <c r="AC210" s="209"/>
      <c r="AD210" s="209"/>
      <c r="AE210" s="209"/>
      <c r="AF210" s="209"/>
      <c r="AG210" s="209"/>
      <c r="AH210" s="209"/>
      <c r="AI210" s="209"/>
      <c r="AJ210" s="209"/>
      <c r="AK210" s="209"/>
      <c r="AL210" s="209"/>
      <c r="AM210" s="209"/>
      <c r="AN210" s="209"/>
      <c r="AO210" s="209"/>
      <c r="AP210" s="209"/>
    </row>
    <row r="211" spans="1:42" ht="15.75" customHeight="1">
      <c r="A211" s="209"/>
      <c r="B211" s="209"/>
      <c r="C211" s="209"/>
      <c r="D211" s="209"/>
      <c r="E211" s="209"/>
      <c r="F211" s="209"/>
      <c r="G211" s="209"/>
      <c r="H211" s="296"/>
      <c r="I211" s="296"/>
      <c r="J211" s="296"/>
      <c r="K211" s="296"/>
      <c r="L211" s="296"/>
      <c r="M211" s="296"/>
      <c r="N211" s="209"/>
      <c r="O211" s="209"/>
      <c r="P211" s="209"/>
      <c r="Q211" s="209"/>
      <c r="R211" s="209"/>
      <c r="S211" s="209"/>
      <c r="T211" s="209"/>
      <c r="U211" s="209"/>
      <c r="V211" s="209"/>
      <c r="W211" s="209"/>
      <c r="X211" s="209"/>
      <c r="Y211" s="209"/>
      <c r="Z211" s="209"/>
      <c r="AA211" s="209"/>
      <c r="AB211" s="209"/>
      <c r="AC211" s="209"/>
      <c r="AD211" s="209"/>
      <c r="AE211" s="209"/>
      <c r="AF211" s="209"/>
      <c r="AG211" s="209"/>
      <c r="AH211" s="209"/>
      <c r="AI211" s="209"/>
      <c r="AJ211" s="209"/>
      <c r="AK211" s="209"/>
      <c r="AL211" s="209"/>
      <c r="AM211" s="209"/>
      <c r="AN211" s="209"/>
      <c r="AO211" s="209"/>
      <c r="AP211" s="209"/>
    </row>
    <row r="212" spans="1:42" ht="15.75" customHeight="1">
      <c r="A212" s="209"/>
      <c r="B212" s="209"/>
      <c r="C212" s="209"/>
      <c r="D212" s="209"/>
      <c r="E212" s="209"/>
      <c r="F212" s="209"/>
      <c r="G212" s="209"/>
      <c r="H212" s="296"/>
      <c r="I212" s="296"/>
      <c r="J212" s="296"/>
      <c r="K212" s="296"/>
      <c r="L212" s="296"/>
      <c r="M212" s="296"/>
      <c r="N212" s="209"/>
      <c r="O212" s="209"/>
      <c r="P212" s="209"/>
      <c r="Q212" s="209"/>
      <c r="R212" s="209"/>
      <c r="S212" s="209"/>
      <c r="T212" s="209"/>
      <c r="U212" s="209"/>
      <c r="V212" s="209"/>
      <c r="W212" s="209"/>
      <c r="X212" s="209"/>
      <c r="Y212" s="209"/>
      <c r="Z212" s="209"/>
      <c r="AA212" s="209"/>
      <c r="AB212" s="209"/>
      <c r="AC212" s="209"/>
      <c r="AD212" s="209"/>
      <c r="AE212" s="209"/>
      <c r="AF212" s="209"/>
      <c r="AG212" s="209"/>
      <c r="AH212" s="209"/>
      <c r="AI212" s="209"/>
      <c r="AJ212" s="209"/>
      <c r="AK212" s="209"/>
      <c r="AL212" s="209"/>
      <c r="AM212" s="209"/>
      <c r="AN212" s="209"/>
      <c r="AO212" s="209"/>
      <c r="AP212" s="209"/>
    </row>
    <row r="213" spans="1:42" ht="15.75" customHeight="1">
      <c r="A213" s="209"/>
      <c r="B213" s="209"/>
      <c r="C213" s="209"/>
      <c r="D213" s="209"/>
      <c r="E213" s="209"/>
      <c r="F213" s="209"/>
      <c r="G213" s="209"/>
      <c r="H213" s="296"/>
      <c r="I213" s="296"/>
      <c r="J213" s="296"/>
      <c r="K213" s="296"/>
      <c r="L213" s="296"/>
      <c r="M213" s="296"/>
      <c r="N213" s="209"/>
      <c r="O213" s="209"/>
      <c r="P213" s="209"/>
      <c r="Q213" s="209"/>
      <c r="R213" s="209"/>
      <c r="S213" s="209"/>
      <c r="T213" s="209"/>
      <c r="U213" s="209"/>
      <c r="V213" s="209"/>
      <c r="W213" s="209"/>
      <c r="X213" s="209"/>
      <c r="Y213" s="209"/>
      <c r="Z213" s="209"/>
      <c r="AA213" s="209"/>
      <c r="AB213" s="209"/>
      <c r="AC213" s="209"/>
      <c r="AD213" s="209"/>
      <c r="AE213" s="209"/>
      <c r="AF213" s="209"/>
      <c r="AG213" s="209"/>
      <c r="AH213" s="209"/>
      <c r="AI213" s="209"/>
      <c r="AJ213" s="209"/>
      <c r="AK213" s="209"/>
      <c r="AL213" s="209"/>
      <c r="AM213" s="209"/>
      <c r="AN213" s="209"/>
      <c r="AO213" s="209"/>
      <c r="AP213" s="209"/>
    </row>
    <row r="214" spans="1:42" ht="15.75" customHeight="1">
      <c r="A214" s="209"/>
      <c r="B214" s="209"/>
      <c r="C214" s="209"/>
      <c r="D214" s="209"/>
      <c r="E214" s="209"/>
      <c r="F214" s="209"/>
      <c r="G214" s="209"/>
      <c r="H214" s="296"/>
      <c r="I214" s="296"/>
      <c r="J214" s="296"/>
      <c r="K214" s="296"/>
      <c r="L214" s="296"/>
      <c r="M214" s="296"/>
      <c r="N214" s="209"/>
      <c r="O214" s="209"/>
      <c r="P214" s="209"/>
      <c r="Q214" s="209"/>
      <c r="R214" s="209"/>
      <c r="S214" s="209"/>
      <c r="T214" s="209"/>
      <c r="U214" s="209"/>
      <c r="V214" s="209"/>
      <c r="W214" s="209"/>
      <c r="X214" s="209"/>
      <c r="Y214" s="209"/>
      <c r="Z214" s="209"/>
      <c r="AA214" s="209"/>
      <c r="AB214" s="209"/>
      <c r="AC214" s="209"/>
      <c r="AD214" s="209"/>
      <c r="AE214" s="209"/>
      <c r="AF214" s="209"/>
      <c r="AG214" s="209"/>
      <c r="AH214" s="209"/>
      <c r="AI214" s="209"/>
      <c r="AJ214" s="209"/>
      <c r="AK214" s="209"/>
      <c r="AL214" s="209"/>
      <c r="AM214" s="209"/>
      <c r="AN214" s="209"/>
      <c r="AO214" s="209"/>
      <c r="AP214" s="209"/>
    </row>
    <row r="215" spans="1:42" ht="15.75" customHeight="1">
      <c r="A215" s="209"/>
      <c r="B215" s="209"/>
      <c r="C215" s="209"/>
      <c r="D215" s="209"/>
      <c r="E215" s="209"/>
      <c r="F215" s="209"/>
      <c r="G215" s="209"/>
      <c r="H215" s="296"/>
      <c r="I215" s="296"/>
      <c r="J215" s="296"/>
      <c r="K215" s="296"/>
      <c r="L215" s="296"/>
      <c r="M215" s="296"/>
      <c r="N215" s="209"/>
      <c r="O215" s="209"/>
      <c r="P215" s="209"/>
      <c r="Q215" s="209"/>
      <c r="R215" s="209"/>
      <c r="S215" s="209"/>
      <c r="T215" s="209"/>
      <c r="U215" s="209"/>
      <c r="V215" s="209"/>
      <c r="W215" s="209"/>
      <c r="X215" s="209"/>
      <c r="Y215" s="209"/>
      <c r="Z215" s="209"/>
      <c r="AA215" s="209"/>
      <c r="AB215" s="209"/>
      <c r="AC215" s="209"/>
      <c r="AD215" s="209"/>
      <c r="AE215" s="209"/>
      <c r="AF215" s="209"/>
      <c r="AG215" s="209"/>
      <c r="AH215" s="209"/>
      <c r="AI215" s="209"/>
      <c r="AJ215" s="209"/>
      <c r="AK215" s="209"/>
      <c r="AL215" s="209"/>
      <c r="AM215" s="209"/>
      <c r="AN215" s="209"/>
      <c r="AO215" s="209"/>
      <c r="AP215" s="209"/>
    </row>
    <row r="216" spans="1:42" ht="15.75" customHeight="1">
      <c r="A216" s="209"/>
      <c r="B216" s="209"/>
      <c r="C216" s="209"/>
      <c r="D216" s="209"/>
      <c r="E216" s="209"/>
      <c r="F216" s="209"/>
      <c r="G216" s="209"/>
      <c r="H216" s="296"/>
      <c r="I216" s="296"/>
      <c r="J216" s="296"/>
      <c r="K216" s="296"/>
      <c r="L216" s="296"/>
      <c r="M216" s="296"/>
      <c r="N216" s="209"/>
      <c r="O216" s="209"/>
      <c r="P216" s="209"/>
      <c r="Q216" s="209"/>
      <c r="R216" s="209"/>
      <c r="S216" s="209"/>
      <c r="T216" s="209"/>
      <c r="U216" s="209"/>
      <c r="V216" s="209"/>
      <c r="W216" s="209"/>
      <c r="X216" s="209"/>
      <c r="Y216" s="209"/>
      <c r="Z216" s="209"/>
      <c r="AA216" s="209"/>
      <c r="AB216" s="209"/>
      <c r="AC216" s="209"/>
      <c r="AD216" s="209"/>
      <c r="AE216" s="209"/>
      <c r="AF216" s="209"/>
      <c r="AG216" s="209"/>
      <c r="AH216" s="209"/>
      <c r="AI216" s="209"/>
      <c r="AJ216" s="209"/>
      <c r="AK216" s="209"/>
      <c r="AL216" s="209"/>
      <c r="AM216" s="209"/>
      <c r="AN216" s="209"/>
      <c r="AO216" s="209"/>
      <c r="AP216" s="209"/>
    </row>
    <row r="217" spans="1:42" ht="15.75" customHeight="1">
      <c r="A217" s="209"/>
      <c r="B217" s="209"/>
      <c r="C217" s="209"/>
      <c r="D217" s="209"/>
      <c r="E217" s="209"/>
      <c r="F217" s="209"/>
      <c r="G217" s="209"/>
      <c r="H217" s="296"/>
      <c r="I217" s="296"/>
      <c r="J217" s="296"/>
      <c r="K217" s="296"/>
      <c r="L217" s="296"/>
      <c r="M217" s="296"/>
      <c r="N217" s="209"/>
      <c r="O217" s="209"/>
      <c r="P217" s="209"/>
      <c r="Q217" s="209"/>
      <c r="R217" s="209"/>
      <c r="S217" s="209"/>
      <c r="T217" s="209"/>
      <c r="U217" s="209"/>
      <c r="V217" s="209"/>
      <c r="W217" s="209"/>
      <c r="X217" s="209"/>
      <c r="Y217" s="209"/>
      <c r="Z217" s="209"/>
      <c r="AA217" s="209"/>
      <c r="AB217" s="209"/>
      <c r="AC217" s="209"/>
      <c r="AD217" s="209"/>
      <c r="AE217" s="209"/>
      <c r="AF217" s="209"/>
      <c r="AG217" s="209"/>
      <c r="AH217" s="209"/>
      <c r="AI217" s="209"/>
      <c r="AJ217" s="209"/>
      <c r="AK217" s="209"/>
      <c r="AL217" s="209"/>
      <c r="AM217" s="209"/>
      <c r="AN217" s="209"/>
      <c r="AO217" s="209"/>
      <c r="AP217" s="209"/>
    </row>
    <row r="218" spans="1:42" ht="15.75" customHeight="1">
      <c r="A218" s="209"/>
      <c r="B218" s="209"/>
      <c r="C218" s="209"/>
      <c r="D218" s="209"/>
      <c r="E218" s="209"/>
      <c r="F218" s="209"/>
      <c r="G218" s="209"/>
      <c r="H218" s="296"/>
      <c r="I218" s="296"/>
      <c r="J218" s="296"/>
      <c r="K218" s="296"/>
      <c r="L218" s="296"/>
      <c r="M218" s="296"/>
      <c r="N218" s="209"/>
      <c r="O218" s="209"/>
      <c r="P218" s="209"/>
      <c r="Q218" s="209"/>
      <c r="R218" s="209"/>
      <c r="S218" s="209"/>
      <c r="T218" s="209"/>
      <c r="U218" s="209"/>
      <c r="V218" s="209"/>
      <c r="W218" s="209"/>
      <c r="X218" s="209"/>
      <c r="Y218" s="209"/>
      <c r="Z218" s="209"/>
      <c r="AA218" s="209"/>
      <c r="AB218" s="209"/>
      <c r="AC218" s="209"/>
      <c r="AD218" s="209"/>
      <c r="AE218" s="209"/>
      <c r="AF218" s="209"/>
      <c r="AG218" s="209"/>
      <c r="AH218" s="209"/>
      <c r="AI218" s="209"/>
      <c r="AJ218" s="209"/>
      <c r="AK218" s="209"/>
      <c r="AL218" s="209"/>
      <c r="AM218" s="209"/>
      <c r="AN218" s="209"/>
      <c r="AO218" s="209"/>
      <c r="AP218" s="209"/>
    </row>
    <row r="219" spans="1:42" ht="15.75" customHeight="1">
      <c r="A219" s="209"/>
      <c r="B219" s="209"/>
      <c r="C219" s="209"/>
      <c r="D219" s="209"/>
      <c r="E219" s="209"/>
      <c r="F219" s="209"/>
      <c r="G219" s="209"/>
      <c r="H219" s="296"/>
      <c r="I219" s="296"/>
      <c r="J219" s="296"/>
      <c r="K219" s="296"/>
      <c r="L219" s="296"/>
      <c r="M219" s="296"/>
      <c r="N219" s="209"/>
      <c r="O219" s="209"/>
      <c r="P219" s="209"/>
      <c r="Q219" s="209"/>
      <c r="R219" s="209"/>
      <c r="S219" s="209"/>
      <c r="T219" s="209"/>
      <c r="U219" s="209"/>
      <c r="V219" s="209"/>
      <c r="W219" s="209"/>
      <c r="X219" s="209"/>
      <c r="Y219" s="209"/>
      <c r="Z219" s="209"/>
      <c r="AA219" s="209"/>
      <c r="AB219" s="209"/>
      <c r="AC219" s="209"/>
      <c r="AD219" s="209"/>
      <c r="AE219" s="209"/>
      <c r="AF219" s="209"/>
      <c r="AG219" s="209"/>
      <c r="AH219" s="209"/>
      <c r="AI219" s="209"/>
      <c r="AJ219" s="209"/>
      <c r="AK219" s="209"/>
      <c r="AL219" s="209"/>
      <c r="AM219" s="209"/>
      <c r="AN219" s="209"/>
      <c r="AO219" s="209"/>
      <c r="AP219" s="209"/>
    </row>
    <row r="220" spans="1:42" ht="15.75" customHeight="1">
      <c r="A220" s="209"/>
      <c r="B220" s="209"/>
      <c r="C220" s="209"/>
      <c r="D220" s="209"/>
      <c r="E220" s="209"/>
      <c r="F220" s="209"/>
      <c r="G220" s="209"/>
      <c r="H220" s="296"/>
      <c r="I220" s="296"/>
      <c r="J220" s="296"/>
      <c r="K220" s="296"/>
      <c r="L220" s="296"/>
      <c r="M220" s="296"/>
      <c r="N220" s="209"/>
      <c r="O220" s="209"/>
      <c r="P220" s="209"/>
      <c r="Q220" s="209"/>
      <c r="R220" s="209"/>
      <c r="S220" s="209"/>
      <c r="T220" s="209"/>
      <c r="U220" s="209"/>
      <c r="V220" s="209"/>
      <c r="W220" s="209"/>
      <c r="X220" s="209"/>
      <c r="Y220" s="209"/>
      <c r="Z220" s="209"/>
      <c r="AA220" s="209"/>
      <c r="AB220" s="209"/>
      <c r="AC220" s="209"/>
      <c r="AD220" s="209"/>
      <c r="AE220" s="209"/>
      <c r="AF220" s="209"/>
      <c r="AG220" s="209"/>
      <c r="AH220" s="209"/>
      <c r="AI220" s="209"/>
      <c r="AJ220" s="209"/>
      <c r="AK220" s="209"/>
      <c r="AL220" s="209"/>
      <c r="AM220" s="209"/>
      <c r="AN220" s="209"/>
      <c r="AO220" s="209"/>
      <c r="AP220" s="209"/>
    </row>
    <row r="221" spans="1:42" ht="15.75" customHeight="1">
      <c r="A221" s="209"/>
      <c r="B221" s="209"/>
      <c r="C221" s="209"/>
      <c r="D221" s="209"/>
      <c r="E221" s="209"/>
      <c r="F221" s="209"/>
      <c r="G221" s="209"/>
      <c r="H221" s="296"/>
      <c r="I221" s="296"/>
      <c r="J221" s="296"/>
      <c r="K221" s="296"/>
      <c r="L221" s="296"/>
      <c r="M221" s="296"/>
      <c r="N221" s="209"/>
      <c r="O221" s="209"/>
      <c r="P221" s="209"/>
      <c r="Q221" s="209"/>
      <c r="R221" s="209"/>
      <c r="S221" s="209"/>
      <c r="T221" s="209"/>
      <c r="U221" s="209"/>
      <c r="V221" s="209"/>
      <c r="W221" s="209"/>
      <c r="X221" s="209"/>
      <c r="Y221" s="209"/>
      <c r="Z221" s="209"/>
      <c r="AA221" s="209"/>
      <c r="AB221" s="209"/>
      <c r="AC221" s="209"/>
      <c r="AD221" s="209"/>
      <c r="AE221" s="209"/>
      <c r="AF221" s="209"/>
      <c r="AG221" s="209"/>
      <c r="AH221" s="209"/>
      <c r="AI221" s="209"/>
      <c r="AJ221" s="209"/>
      <c r="AK221" s="209"/>
      <c r="AL221" s="209"/>
      <c r="AM221" s="209"/>
      <c r="AN221" s="209"/>
      <c r="AO221" s="209"/>
      <c r="AP221" s="209"/>
    </row>
    <row r="222" spans="1:42" ht="15.75" customHeight="1">
      <c r="A222" s="209"/>
      <c r="B222" s="209"/>
      <c r="C222" s="209"/>
      <c r="D222" s="209"/>
      <c r="E222" s="209"/>
      <c r="F222" s="209"/>
      <c r="G222" s="209"/>
      <c r="H222" s="296"/>
      <c r="I222" s="296"/>
      <c r="J222" s="296"/>
      <c r="K222" s="296"/>
      <c r="L222" s="296"/>
      <c r="M222" s="296"/>
      <c r="N222" s="209"/>
      <c r="O222" s="209"/>
      <c r="P222" s="209"/>
      <c r="Q222" s="209"/>
      <c r="R222" s="209"/>
      <c r="S222" s="209"/>
      <c r="T222" s="209"/>
      <c r="U222" s="209"/>
      <c r="V222" s="209"/>
      <c r="W222" s="209"/>
      <c r="X222" s="209"/>
      <c r="Y222" s="209"/>
      <c r="Z222" s="209"/>
      <c r="AA222" s="209"/>
      <c r="AB222" s="209"/>
      <c r="AC222" s="209"/>
      <c r="AD222" s="209"/>
      <c r="AE222" s="209"/>
      <c r="AF222" s="209"/>
      <c r="AG222" s="209"/>
      <c r="AH222" s="209"/>
      <c r="AI222" s="209"/>
      <c r="AJ222" s="209"/>
      <c r="AK222" s="209"/>
      <c r="AL222" s="209"/>
      <c r="AM222" s="209"/>
      <c r="AN222" s="209"/>
      <c r="AO222" s="209"/>
      <c r="AP222" s="209"/>
    </row>
    <row r="223" spans="1:42" ht="15.75" customHeight="1">
      <c r="A223" s="209"/>
      <c r="B223" s="209"/>
      <c r="C223" s="209"/>
      <c r="D223" s="209"/>
      <c r="E223" s="209"/>
      <c r="F223" s="209"/>
      <c r="G223" s="209"/>
      <c r="H223" s="296"/>
      <c r="I223" s="296"/>
      <c r="J223" s="296"/>
      <c r="K223" s="296"/>
      <c r="L223" s="296"/>
      <c r="M223" s="296"/>
      <c r="N223" s="209"/>
      <c r="O223" s="209"/>
      <c r="P223" s="209"/>
      <c r="Q223" s="209"/>
      <c r="R223" s="209"/>
      <c r="S223" s="209"/>
      <c r="T223" s="209"/>
      <c r="U223" s="209"/>
      <c r="V223" s="209"/>
      <c r="W223" s="209"/>
      <c r="X223" s="209"/>
      <c r="Y223" s="209"/>
      <c r="Z223" s="209"/>
      <c r="AA223" s="209"/>
      <c r="AB223" s="209"/>
      <c r="AC223" s="209"/>
      <c r="AD223" s="209"/>
      <c r="AE223" s="209"/>
      <c r="AF223" s="209"/>
      <c r="AG223" s="209"/>
      <c r="AH223" s="209"/>
      <c r="AI223" s="209"/>
      <c r="AJ223" s="209"/>
      <c r="AK223" s="209"/>
      <c r="AL223" s="209"/>
      <c r="AM223" s="209"/>
      <c r="AN223" s="209"/>
      <c r="AO223" s="209"/>
      <c r="AP223" s="209"/>
    </row>
    <row r="224" spans="1:42" ht="15.75" customHeight="1">
      <c r="A224" s="209"/>
      <c r="B224" s="209"/>
      <c r="C224" s="209"/>
      <c r="D224" s="209"/>
      <c r="E224" s="209"/>
      <c r="F224" s="209"/>
      <c r="G224" s="209"/>
      <c r="H224" s="296"/>
      <c r="I224" s="296"/>
      <c r="J224" s="296"/>
      <c r="K224" s="296"/>
      <c r="L224" s="296"/>
      <c r="M224" s="296"/>
      <c r="N224" s="209"/>
      <c r="O224" s="209"/>
      <c r="P224" s="209"/>
      <c r="Q224" s="209"/>
      <c r="R224" s="209"/>
      <c r="S224" s="209"/>
      <c r="T224" s="209"/>
      <c r="U224" s="209"/>
      <c r="V224" s="209"/>
      <c r="W224" s="209"/>
      <c r="X224" s="209"/>
      <c r="Y224" s="209"/>
      <c r="Z224" s="209"/>
      <c r="AA224" s="209"/>
      <c r="AB224" s="209"/>
      <c r="AC224" s="209"/>
      <c r="AD224" s="209"/>
      <c r="AE224" s="209"/>
      <c r="AF224" s="209"/>
      <c r="AG224" s="209"/>
      <c r="AH224" s="209"/>
      <c r="AI224" s="209"/>
      <c r="AJ224" s="209"/>
      <c r="AK224" s="209"/>
      <c r="AL224" s="209"/>
      <c r="AM224" s="209"/>
      <c r="AN224" s="209"/>
      <c r="AO224" s="209"/>
      <c r="AP224" s="209"/>
    </row>
    <row r="225" spans="1:42" ht="15.75" customHeight="1">
      <c r="A225" s="209"/>
      <c r="B225" s="209"/>
      <c r="C225" s="209"/>
      <c r="D225" s="209"/>
      <c r="E225" s="209"/>
      <c r="F225" s="209"/>
      <c r="G225" s="209"/>
      <c r="H225" s="296"/>
      <c r="I225" s="296"/>
      <c r="J225" s="296"/>
      <c r="K225" s="296"/>
      <c r="L225" s="296"/>
      <c r="M225" s="296"/>
      <c r="N225" s="209"/>
      <c r="O225" s="209"/>
      <c r="P225" s="209"/>
      <c r="Q225" s="209"/>
      <c r="R225" s="209"/>
      <c r="S225" s="209"/>
      <c r="T225" s="209"/>
      <c r="U225" s="209"/>
      <c r="V225" s="209"/>
      <c r="W225" s="209"/>
      <c r="X225" s="209"/>
      <c r="Y225" s="209"/>
      <c r="Z225" s="209"/>
      <c r="AA225" s="209"/>
      <c r="AB225" s="209"/>
      <c r="AC225" s="209"/>
      <c r="AD225" s="209"/>
      <c r="AE225" s="209"/>
      <c r="AF225" s="209"/>
      <c r="AG225" s="209"/>
      <c r="AH225" s="209"/>
      <c r="AI225" s="209"/>
      <c r="AJ225" s="209"/>
      <c r="AK225" s="209"/>
      <c r="AL225" s="209"/>
      <c r="AM225" s="209"/>
      <c r="AN225" s="209"/>
      <c r="AO225" s="209"/>
      <c r="AP225" s="209"/>
    </row>
    <row r="226" spans="1:42" ht="15.75" customHeight="1">
      <c r="A226" s="209"/>
      <c r="B226" s="209"/>
      <c r="C226" s="209"/>
      <c r="D226" s="209"/>
      <c r="E226" s="209"/>
      <c r="F226" s="209"/>
      <c r="G226" s="209"/>
      <c r="H226" s="296"/>
      <c r="I226" s="296"/>
      <c r="J226" s="296"/>
      <c r="K226" s="296"/>
      <c r="L226" s="296"/>
      <c r="M226" s="296"/>
      <c r="N226" s="209"/>
      <c r="O226" s="209"/>
      <c r="P226" s="209"/>
      <c r="Q226" s="209"/>
      <c r="R226" s="209"/>
      <c r="S226" s="209"/>
      <c r="T226" s="209"/>
      <c r="U226" s="209"/>
      <c r="V226" s="209"/>
      <c r="W226" s="209"/>
      <c r="X226" s="209"/>
      <c r="Y226" s="209"/>
      <c r="Z226" s="209"/>
      <c r="AA226" s="209"/>
      <c r="AB226" s="209"/>
      <c r="AC226" s="209"/>
      <c r="AD226" s="209"/>
      <c r="AE226" s="209"/>
      <c r="AF226" s="209"/>
      <c r="AG226" s="209"/>
      <c r="AH226" s="209"/>
      <c r="AI226" s="209"/>
      <c r="AJ226" s="209"/>
      <c r="AK226" s="209"/>
      <c r="AL226" s="209"/>
      <c r="AM226" s="209"/>
      <c r="AN226" s="209"/>
      <c r="AO226" s="209"/>
      <c r="AP226" s="209"/>
    </row>
    <row r="227" spans="1:42" ht="15.75" customHeight="1">
      <c r="A227" s="209"/>
      <c r="B227" s="209"/>
      <c r="C227" s="209"/>
      <c r="D227" s="209"/>
      <c r="E227" s="209"/>
      <c r="F227" s="209"/>
      <c r="G227" s="209"/>
      <c r="H227" s="296"/>
      <c r="I227" s="296"/>
      <c r="J227" s="296"/>
      <c r="K227" s="296"/>
      <c r="L227" s="296"/>
      <c r="M227" s="296"/>
      <c r="N227" s="209"/>
      <c r="O227" s="209"/>
      <c r="P227" s="209"/>
      <c r="Q227" s="209"/>
      <c r="R227" s="209"/>
      <c r="S227" s="209"/>
      <c r="T227" s="209"/>
      <c r="U227" s="209"/>
      <c r="V227" s="209"/>
      <c r="W227" s="209"/>
      <c r="X227" s="209"/>
      <c r="Y227" s="209"/>
      <c r="Z227" s="209"/>
      <c r="AA227" s="209"/>
      <c r="AB227" s="209"/>
      <c r="AC227" s="209"/>
      <c r="AD227" s="209"/>
      <c r="AE227" s="209"/>
      <c r="AF227" s="209"/>
      <c r="AG227" s="209"/>
      <c r="AH227" s="209"/>
      <c r="AI227" s="209"/>
      <c r="AJ227" s="209"/>
      <c r="AK227" s="209"/>
      <c r="AL227" s="209"/>
      <c r="AM227" s="209"/>
      <c r="AN227" s="209"/>
      <c r="AO227" s="209"/>
      <c r="AP227" s="209"/>
    </row>
    <row r="228" spans="1:42" ht="15.75" customHeight="1">
      <c r="A228" s="209"/>
      <c r="B228" s="209"/>
      <c r="C228" s="209"/>
      <c r="D228" s="209"/>
      <c r="E228" s="209"/>
      <c r="F228" s="209"/>
      <c r="G228" s="209"/>
      <c r="H228" s="296"/>
      <c r="I228" s="296"/>
      <c r="J228" s="296"/>
      <c r="K228" s="296"/>
      <c r="L228" s="296"/>
      <c r="M228" s="296"/>
      <c r="N228" s="209"/>
      <c r="O228" s="209"/>
      <c r="P228" s="209"/>
      <c r="Q228" s="209"/>
      <c r="R228" s="209"/>
      <c r="S228" s="209"/>
      <c r="T228" s="209"/>
      <c r="U228" s="209"/>
      <c r="V228" s="209"/>
      <c r="W228" s="209"/>
      <c r="X228" s="209"/>
      <c r="Y228" s="209"/>
      <c r="Z228" s="209"/>
      <c r="AA228" s="209"/>
      <c r="AB228" s="209"/>
      <c r="AC228" s="209"/>
      <c r="AD228" s="209"/>
      <c r="AE228" s="209"/>
      <c r="AF228" s="209"/>
      <c r="AG228" s="209"/>
      <c r="AH228" s="209"/>
      <c r="AI228" s="209"/>
      <c r="AJ228" s="209"/>
      <c r="AK228" s="209"/>
      <c r="AL228" s="209"/>
      <c r="AM228" s="209"/>
      <c r="AN228" s="209"/>
      <c r="AO228" s="209"/>
      <c r="AP228" s="209"/>
    </row>
    <row r="229" spans="1:42" ht="15.75" customHeight="1">
      <c r="A229" s="209"/>
      <c r="B229" s="209"/>
      <c r="C229" s="209"/>
      <c r="D229" s="209"/>
      <c r="E229" s="209"/>
      <c r="F229" s="209"/>
      <c r="G229" s="209"/>
      <c r="H229" s="296"/>
      <c r="I229" s="296"/>
      <c r="J229" s="296"/>
      <c r="K229" s="296"/>
      <c r="L229" s="296"/>
      <c r="M229" s="296"/>
      <c r="N229" s="209"/>
      <c r="O229" s="209"/>
      <c r="P229" s="209"/>
      <c r="Q229" s="209"/>
      <c r="R229" s="209"/>
      <c r="S229" s="209"/>
      <c r="T229" s="209"/>
      <c r="U229" s="209"/>
      <c r="V229" s="209"/>
      <c r="W229" s="209"/>
      <c r="X229" s="209"/>
      <c r="Y229" s="209"/>
      <c r="Z229" s="209"/>
      <c r="AA229" s="209"/>
      <c r="AB229" s="209"/>
      <c r="AC229" s="209"/>
      <c r="AD229" s="209"/>
      <c r="AE229" s="209"/>
      <c r="AF229" s="209"/>
      <c r="AG229" s="209"/>
      <c r="AH229" s="209"/>
      <c r="AI229" s="209"/>
      <c r="AJ229" s="209"/>
      <c r="AK229" s="209"/>
      <c r="AL229" s="209"/>
      <c r="AM229" s="209"/>
      <c r="AN229" s="209"/>
      <c r="AO229" s="209"/>
      <c r="AP229" s="209"/>
    </row>
    <row r="230" spans="1:42" ht="15.75" customHeight="1">
      <c r="A230" s="209"/>
      <c r="B230" s="209"/>
      <c r="C230" s="209"/>
      <c r="D230" s="209"/>
      <c r="E230" s="209"/>
      <c r="F230" s="209"/>
      <c r="G230" s="209"/>
      <c r="H230" s="296"/>
      <c r="I230" s="296"/>
      <c r="J230" s="296"/>
      <c r="K230" s="296"/>
      <c r="L230" s="296"/>
      <c r="M230" s="296"/>
      <c r="N230" s="209"/>
      <c r="O230" s="209"/>
      <c r="P230" s="209"/>
      <c r="Q230" s="209"/>
      <c r="R230" s="209"/>
      <c r="S230" s="209"/>
      <c r="T230" s="209"/>
      <c r="U230" s="209"/>
      <c r="V230" s="209"/>
      <c r="W230" s="209"/>
      <c r="X230" s="209"/>
      <c r="Y230" s="209"/>
      <c r="Z230" s="209"/>
      <c r="AA230" s="209"/>
      <c r="AB230" s="209"/>
      <c r="AC230" s="209"/>
      <c r="AD230" s="209"/>
      <c r="AE230" s="209"/>
      <c r="AF230" s="209"/>
      <c r="AG230" s="209"/>
      <c r="AH230" s="209"/>
      <c r="AI230" s="209"/>
      <c r="AJ230" s="209"/>
      <c r="AK230" s="209"/>
      <c r="AL230" s="209"/>
      <c r="AM230" s="209"/>
      <c r="AN230" s="209"/>
      <c r="AO230" s="209"/>
      <c r="AP230" s="209"/>
    </row>
    <row r="231" spans="1:42" ht="15.75" customHeight="1">
      <c r="A231" s="209"/>
      <c r="B231" s="209"/>
      <c r="C231" s="209"/>
      <c r="D231" s="209"/>
      <c r="E231" s="209"/>
      <c r="F231" s="209"/>
      <c r="G231" s="209"/>
      <c r="H231" s="296"/>
      <c r="I231" s="296"/>
      <c r="J231" s="296"/>
      <c r="K231" s="296"/>
      <c r="L231" s="296"/>
      <c r="M231" s="296"/>
      <c r="N231" s="209"/>
      <c r="O231" s="209"/>
      <c r="P231" s="209"/>
      <c r="Q231" s="209"/>
      <c r="R231" s="209"/>
      <c r="S231" s="209"/>
      <c r="T231" s="209"/>
      <c r="U231" s="209"/>
      <c r="V231" s="209"/>
      <c r="W231" s="209"/>
      <c r="X231" s="209"/>
      <c r="Y231" s="209"/>
      <c r="Z231" s="209"/>
      <c r="AA231" s="209"/>
      <c r="AB231" s="209"/>
      <c r="AC231" s="209"/>
      <c r="AD231" s="209"/>
      <c r="AE231" s="209"/>
      <c r="AF231" s="209"/>
      <c r="AG231" s="209"/>
      <c r="AH231" s="209"/>
      <c r="AI231" s="209"/>
      <c r="AJ231" s="209"/>
      <c r="AK231" s="209"/>
      <c r="AL231" s="209"/>
      <c r="AM231" s="209"/>
      <c r="AN231" s="209"/>
      <c r="AO231" s="209"/>
      <c r="AP231" s="209"/>
    </row>
    <row r="232" spans="1:42" ht="15.75" customHeight="1">
      <c r="A232" s="209"/>
      <c r="B232" s="209"/>
      <c r="C232" s="209"/>
      <c r="D232" s="209"/>
      <c r="E232" s="209"/>
      <c r="F232" s="209"/>
      <c r="G232" s="209"/>
      <c r="H232" s="296"/>
      <c r="I232" s="296"/>
      <c r="J232" s="296"/>
      <c r="K232" s="296"/>
      <c r="L232" s="296"/>
      <c r="M232" s="296"/>
      <c r="N232" s="209"/>
      <c r="O232" s="209"/>
      <c r="P232" s="209"/>
      <c r="Q232" s="209"/>
      <c r="R232" s="209"/>
      <c r="S232" s="209"/>
      <c r="T232" s="209"/>
      <c r="U232" s="209"/>
      <c r="V232" s="209"/>
      <c r="W232" s="209"/>
      <c r="X232" s="209"/>
      <c r="Y232" s="209"/>
      <c r="Z232" s="209"/>
      <c r="AA232" s="209"/>
      <c r="AB232" s="209"/>
      <c r="AC232" s="209"/>
      <c r="AD232" s="209"/>
      <c r="AE232" s="209"/>
      <c r="AF232" s="209"/>
      <c r="AG232" s="209"/>
      <c r="AH232" s="209"/>
      <c r="AI232" s="209"/>
      <c r="AJ232" s="209"/>
      <c r="AK232" s="209"/>
      <c r="AL232" s="209"/>
      <c r="AM232" s="209"/>
      <c r="AN232" s="209"/>
      <c r="AO232" s="209"/>
      <c r="AP232" s="209"/>
    </row>
    <row r="233" spans="1:42" ht="15.75" customHeight="1">
      <c r="A233" s="209"/>
      <c r="B233" s="209"/>
      <c r="C233" s="209"/>
      <c r="D233" s="209"/>
      <c r="E233" s="209"/>
      <c r="F233" s="209"/>
      <c r="G233" s="209"/>
      <c r="H233" s="296"/>
      <c r="I233" s="296"/>
      <c r="J233" s="296"/>
      <c r="K233" s="296"/>
      <c r="L233" s="296"/>
      <c r="M233" s="296"/>
      <c r="N233" s="209"/>
      <c r="O233" s="209"/>
      <c r="P233" s="209"/>
      <c r="Q233" s="209"/>
      <c r="R233" s="209"/>
      <c r="S233" s="209"/>
      <c r="T233" s="209"/>
      <c r="U233" s="209"/>
      <c r="V233" s="209"/>
      <c r="W233" s="209"/>
      <c r="X233" s="209"/>
      <c r="Y233" s="209"/>
      <c r="Z233" s="209"/>
      <c r="AA233" s="209"/>
      <c r="AB233" s="209"/>
      <c r="AC233" s="209"/>
      <c r="AD233" s="209"/>
      <c r="AE233" s="209"/>
      <c r="AF233" s="209"/>
      <c r="AG233" s="209"/>
      <c r="AH233" s="209"/>
      <c r="AI233" s="209"/>
      <c r="AJ233" s="209"/>
      <c r="AK233" s="209"/>
      <c r="AL233" s="209"/>
      <c r="AM233" s="209"/>
      <c r="AN233" s="209"/>
      <c r="AO233" s="209"/>
      <c r="AP233" s="209"/>
    </row>
    <row r="234" spans="1:42" ht="15.75" customHeight="1">
      <c r="A234" s="209"/>
      <c r="B234" s="209"/>
      <c r="C234" s="209"/>
      <c r="D234" s="209"/>
      <c r="E234" s="209"/>
      <c r="F234" s="209"/>
      <c r="G234" s="209"/>
      <c r="H234" s="296"/>
      <c r="I234" s="296"/>
      <c r="J234" s="296"/>
      <c r="K234" s="296"/>
      <c r="L234" s="296"/>
      <c r="M234" s="296"/>
      <c r="N234" s="209"/>
      <c r="O234" s="209"/>
      <c r="P234" s="209"/>
      <c r="Q234" s="209"/>
      <c r="R234" s="209"/>
      <c r="S234" s="209"/>
      <c r="T234" s="209"/>
      <c r="U234" s="209"/>
      <c r="V234" s="209"/>
      <c r="W234" s="209"/>
      <c r="X234" s="209"/>
      <c r="Y234" s="209"/>
      <c r="Z234" s="209"/>
      <c r="AA234" s="209"/>
      <c r="AB234" s="209"/>
      <c r="AC234" s="209"/>
      <c r="AD234" s="209"/>
      <c r="AE234" s="209"/>
      <c r="AF234" s="209"/>
      <c r="AG234" s="209"/>
      <c r="AH234" s="209"/>
      <c r="AI234" s="209"/>
      <c r="AJ234" s="209"/>
      <c r="AK234" s="209"/>
      <c r="AL234" s="209"/>
      <c r="AM234" s="209"/>
      <c r="AN234" s="209"/>
      <c r="AO234" s="209"/>
      <c r="AP234" s="209"/>
    </row>
    <row r="235" spans="1:42" ht="15.75" customHeight="1">
      <c r="A235" s="209"/>
      <c r="B235" s="209"/>
      <c r="C235" s="209"/>
      <c r="D235" s="209"/>
      <c r="E235" s="209"/>
      <c r="F235" s="209"/>
      <c r="G235" s="209"/>
      <c r="H235" s="296"/>
      <c r="I235" s="296"/>
      <c r="J235" s="296"/>
      <c r="K235" s="296"/>
      <c r="L235" s="296"/>
      <c r="M235" s="296"/>
      <c r="N235" s="209"/>
      <c r="O235" s="209"/>
      <c r="P235" s="209"/>
      <c r="Q235" s="209"/>
      <c r="R235" s="209"/>
      <c r="S235" s="209"/>
      <c r="T235" s="209"/>
      <c r="U235" s="209"/>
      <c r="V235" s="209"/>
      <c r="W235" s="209"/>
      <c r="X235" s="209"/>
      <c r="Y235" s="209"/>
      <c r="Z235" s="209"/>
      <c r="AA235" s="209"/>
      <c r="AB235" s="209"/>
      <c r="AC235" s="209"/>
      <c r="AD235" s="209"/>
      <c r="AE235" s="209"/>
      <c r="AF235" s="209"/>
      <c r="AG235" s="209"/>
      <c r="AH235" s="209"/>
      <c r="AI235" s="209"/>
      <c r="AJ235" s="209"/>
      <c r="AK235" s="209"/>
      <c r="AL235" s="209"/>
      <c r="AM235" s="209"/>
      <c r="AN235" s="209"/>
      <c r="AO235" s="209"/>
      <c r="AP235" s="209"/>
    </row>
    <row r="236" spans="1:42" ht="15.75" customHeight="1">
      <c r="A236" s="209"/>
      <c r="B236" s="209"/>
      <c r="C236" s="209"/>
      <c r="D236" s="209"/>
      <c r="E236" s="209"/>
      <c r="F236" s="209"/>
      <c r="G236" s="209"/>
      <c r="H236" s="296"/>
      <c r="I236" s="296"/>
      <c r="J236" s="296"/>
      <c r="K236" s="296"/>
      <c r="L236" s="296"/>
      <c r="M236" s="296"/>
      <c r="N236" s="209"/>
      <c r="O236" s="209"/>
      <c r="P236" s="209"/>
      <c r="Q236" s="209"/>
      <c r="R236" s="209"/>
      <c r="S236" s="209"/>
      <c r="T236" s="209"/>
      <c r="U236" s="209"/>
      <c r="V236" s="209"/>
      <c r="W236" s="209"/>
      <c r="X236" s="209"/>
      <c r="Y236" s="209"/>
      <c r="Z236" s="209"/>
      <c r="AA236" s="209"/>
      <c r="AB236" s="209"/>
      <c r="AC236" s="209"/>
      <c r="AD236" s="209"/>
      <c r="AE236" s="209"/>
      <c r="AF236" s="209"/>
      <c r="AG236" s="209"/>
      <c r="AH236" s="209"/>
      <c r="AI236" s="209"/>
      <c r="AJ236" s="209"/>
      <c r="AK236" s="209"/>
      <c r="AL236" s="209"/>
      <c r="AM236" s="209"/>
      <c r="AN236" s="209"/>
      <c r="AO236" s="209"/>
      <c r="AP236" s="209"/>
    </row>
    <row r="237" spans="1:42" ht="15.75" customHeight="1">
      <c r="A237" s="209"/>
      <c r="B237" s="209"/>
      <c r="C237" s="209"/>
      <c r="D237" s="209"/>
      <c r="E237" s="209"/>
      <c r="F237" s="209"/>
      <c r="G237" s="209"/>
      <c r="H237" s="296"/>
      <c r="I237" s="296"/>
      <c r="J237" s="296"/>
      <c r="K237" s="296"/>
      <c r="L237" s="296"/>
      <c r="M237" s="296"/>
      <c r="N237" s="209"/>
      <c r="O237" s="209"/>
      <c r="P237" s="209"/>
      <c r="Q237" s="209"/>
      <c r="R237" s="209"/>
      <c r="S237" s="209"/>
      <c r="T237" s="209"/>
      <c r="U237" s="209"/>
      <c r="V237" s="209"/>
      <c r="W237" s="209"/>
      <c r="X237" s="209"/>
      <c r="Y237" s="209"/>
      <c r="Z237" s="209"/>
      <c r="AA237" s="209"/>
      <c r="AB237" s="209"/>
      <c r="AC237" s="209"/>
      <c r="AD237" s="209"/>
      <c r="AE237" s="209"/>
      <c r="AF237" s="209"/>
      <c r="AG237" s="209"/>
      <c r="AH237" s="209"/>
      <c r="AI237" s="209"/>
      <c r="AJ237" s="209"/>
      <c r="AK237" s="209"/>
      <c r="AL237" s="209"/>
      <c r="AM237" s="209"/>
      <c r="AN237" s="209"/>
      <c r="AO237" s="209"/>
      <c r="AP237" s="209"/>
    </row>
    <row r="238" spans="1:42" ht="15.75" customHeight="1">
      <c r="A238" s="209"/>
      <c r="B238" s="209"/>
      <c r="C238" s="209"/>
      <c r="D238" s="209"/>
      <c r="E238" s="209"/>
      <c r="F238" s="209"/>
      <c r="G238" s="209"/>
      <c r="H238" s="296"/>
      <c r="I238" s="296"/>
      <c r="J238" s="296"/>
      <c r="K238" s="296"/>
      <c r="L238" s="296"/>
      <c r="M238" s="296"/>
      <c r="N238" s="209"/>
      <c r="O238" s="209"/>
      <c r="P238" s="209"/>
      <c r="Q238" s="209"/>
      <c r="R238" s="209"/>
      <c r="S238" s="209"/>
      <c r="T238" s="209"/>
      <c r="U238" s="209"/>
      <c r="V238" s="209"/>
      <c r="W238" s="209"/>
      <c r="X238" s="209"/>
      <c r="Y238" s="209"/>
      <c r="Z238" s="209"/>
      <c r="AA238" s="209"/>
      <c r="AB238" s="209"/>
      <c r="AC238" s="209"/>
      <c r="AD238" s="209"/>
      <c r="AE238" s="209"/>
      <c r="AF238" s="209"/>
      <c r="AG238" s="209"/>
      <c r="AH238" s="209"/>
      <c r="AI238" s="209"/>
      <c r="AJ238" s="209"/>
      <c r="AK238" s="209"/>
      <c r="AL238" s="209"/>
      <c r="AM238" s="209"/>
      <c r="AN238" s="209"/>
      <c r="AO238" s="209"/>
      <c r="AP238" s="209"/>
    </row>
    <row r="239" spans="1:42" ht="15.75" customHeight="1">
      <c r="A239" s="209"/>
      <c r="B239" s="209"/>
      <c r="C239" s="209"/>
      <c r="D239" s="209"/>
      <c r="E239" s="209"/>
      <c r="F239" s="209"/>
      <c r="G239" s="209"/>
      <c r="H239" s="296"/>
      <c r="I239" s="296"/>
      <c r="J239" s="296"/>
      <c r="K239" s="296"/>
      <c r="L239" s="296"/>
      <c r="M239" s="296"/>
      <c r="N239" s="209"/>
      <c r="O239" s="209"/>
      <c r="P239" s="209"/>
      <c r="Q239" s="209"/>
      <c r="R239" s="209"/>
      <c r="S239" s="209"/>
      <c r="T239" s="209"/>
      <c r="U239" s="209"/>
      <c r="V239" s="209"/>
      <c r="W239" s="209"/>
      <c r="X239" s="209"/>
      <c r="Y239" s="209"/>
      <c r="Z239" s="209"/>
      <c r="AA239" s="209"/>
      <c r="AB239" s="209"/>
      <c r="AC239" s="209"/>
      <c r="AD239" s="209"/>
      <c r="AE239" s="209"/>
      <c r="AF239" s="209"/>
      <c r="AG239" s="209"/>
      <c r="AH239" s="209"/>
      <c r="AI239" s="209"/>
      <c r="AJ239" s="209"/>
      <c r="AK239" s="209"/>
      <c r="AL239" s="209"/>
      <c r="AM239" s="209"/>
      <c r="AN239" s="209"/>
      <c r="AO239" s="209"/>
      <c r="AP239" s="209"/>
    </row>
    <row r="240" spans="1:42" ht="15.75" customHeight="1">
      <c r="A240" s="209"/>
      <c r="B240" s="209"/>
      <c r="C240" s="209"/>
      <c r="D240" s="209"/>
      <c r="E240" s="209"/>
      <c r="F240" s="209"/>
      <c r="G240" s="209"/>
      <c r="H240" s="296"/>
      <c r="I240" s="296"/>
      <c r="J240" s="296"/>
      <c r="K240" s="296"/>
      <c r="L240" s="296"/>
      <c r="M240" s="296"/>
      <c r="N240" s="209"/>
      <c r="O240" s="209"/>
      <c r="P240" s="209"/>
      <c r="Q240" s="209"/>
      <c r="R240" s="209"/>
      <c r="S240" s="209"/>
      <c r="T240" s="209"/>
      <c r="U240" s="209"/>
      <c r="V240" s="209"/>
      <c r="W240" s="209"/>
      <c r="X240" s="209"/>
      <c r="Y240" s="209"/>
      <c r="Z240" s="209"/>
      <c r="AA240" s="209"/>
      <c r="AB240" s="209"/>
      <c r="AC240" s="209"/>
      <c r="AD240" s="209"/>
      <c r="AE240" s="209"/>
      <c r="AF240" s="209"/>
      <c r="AG240" s="209"/>
      <c r="AH240" s="209"/>
      <c r="AI240" s="209"/>
      <c r="AJ240" s="209"/>
      <c r="AK240" s="209"/>
      <c r="AL240" s="209"/>
      <c r="AM240" s="209"/>
      <c r="AN240" s="209"/>
      <c r="AO240" s="209"/>
      <c r="AP240" s="209"/>
    </row>
    <row r="241" spans="1:42" ht="15.75" customHeight="1">
      <c r="A241" s="209"/>
      <c r="B241" s="209"/>
      <c r="C241" s="209"/>
      <c r="D241" s="209"/>
      <c r="E241" s="209"/>
      <c r="F241" s="209"/>
      <c r="G241" s="209"/>
      <c r="H241" s="296"/>
      <c r="I241" s="296"/>
      <c r="J241" s="296"/>
      <c r="K241" s="296"/>
      <c r="L241" s="296"/>
      <c r="M241" s="296"/>
      <c r="N241" s="209"/>
      <c r="O241" s="209"/>
      <c r="P241" s="209"/>
      <c r="Q241" s="209"/>
      <c r="R241" s="209"/>
      <c r="S241" s="209"/>
      <c r="T241" s="209"/>
      <c r="U241" s="209"/>
      <c r="V241" s="209"/>
      <c r="W241" s="209"/>
      <c r="X241" s="209"/>
      <c r="Y241" s="209"/>
      <c r="Z241" s="209"/>
      <c r="AA241" s="209"/>
      <c r="AB241" s="209"/>
      <c r="AC241" s="209"/>
      <c r="AD241" s="209"/>
      <c r="AE241" s="209"/>
      <c r="AF241" s="209"/>
      <c r="AG241" s="209"/>
      <c r="AH241" s="209"/>
      <c r="AI241" s="209"/>
      <c r="AJ241" s="209"/>
      <c r="AK241" s="209"/>
      <c r="AL241" s="209"/>
      <c r="AM241" s="209"/>
      <c r="AN241" s="209"/>
      <c r="AO241" s="209"/>
      <c r="AP241" s="209"/>
    </row>
    <row r="242" spans="1:42" ht="15.75" customHeight="1">
      <c r="A242" s="209"/>
      <c r="B242" s="209"/>
      <c r="C242" s="209"/>
      <c r="D242" s="209"/>
      <c r="E242" s="209"/>
      <c r="F242" s="209"/>
      <c r="G242" s="209"/>
      <c r="H242" s="296"/>
      <c r="I242" s="296"/>
      <c r="J242" s="296"/>
      <c r="K242" s="296"/>
      <c r="L242" s="296"/>
      <c r="M242" s="296"/>
      <c r="N242" s="209"/>
      <c r="O242" s="209"/>
      <c r="P242" s="209"/>
      <c r="Q242" s="209"/>
      <c r="R242" s="209"/>
      <c r="S242" s="209"/>
      <c r="T242" s="209"/>
      <c r="U242" s="209"/>
      <c r="V242" s="209"/>
      <c r="W242" s="209"/>
      <c r="X242" s="209"/>
      <c r="Y242" s="209"/>
      <c r="Z242" s="209"/>
      <c r="AA242" s="209"/>
      <c r="AB242" s="209"/>
      <c r="AC242" s="209"/>
      <c r="AD242" s="209"/>
      <c r="AE242" s="209"/>
      <c r="AF242" s="209"/>
      <c r="AG242" s="209"/>
      <c r="AH242" s="209"/>
      <c r="AI242" s="209"/>
      <c r="AJ242" s="209"/>
      <c r="AK242" s="209"/>
      <c r="AL242" s="209"/>
      <c r="AM242" s="209"/>
      <c r="AN242" s="209"/>
      <c r="AO242" s="209"/>
      <c r="AP242" s="209"/>
    </row>
    <row r="243" spans="1:42" ht="15.75" customHeight="1">
      <c r="A243" s="209"/>
      <c r="B243" s="209"/>
      <c r="C243" s="209"/>
      <c r="D243" s="209"/>
      <c r="E243" s="209"/>
      <c r="F243" s="209"/>
      <c r="G243" s="209"/>
      <c r="H243" s="296"/>
      <c r="I243" s="296"/>
      <c r="J243" s="296"/>
      <c r="K243" s="296"/>
      <c r="L243" s="296"/>
      <c r="M243" s="296"/>
      <c r="N243" s="209"/>
      <c r="O243" s="209"/>
      <c r="P243" s="209"/>
      <c r="Q243" s="209"/>
      <c r="R243" s="209"/>
      <c r="S243" s="209"/>
      <c r="T243" s="209"/>
      <c r="U243" s="209"/>
      <c r="V243" s="209"/>
      <c r="W243" s="209"/>
      <c r="X243" s="209"/>
      <c r="Y243" s="209"/>
      <c r="Z243" s="209"/>
      <c r="AA243" s="209"/>
      <c r="AB243" s="209"/>
      <c r="AC243" s="209"/>
      <c r="AD243" s="209"/>
      <c r="AE243" s="209"/>
      <c r="AF243" s="209"/>
      <c r="AG243" s="209"/>
      <c r="AH243" s="209"/>
      <c r="AI243" s="209"/>
      <c r="AJ243" s="209"/>
      <c r="AK243" s="209"/>
      <c r="AL243" s="209"/>
      <c r="AM243" s="209"/>
      <c r="AN243" s="209"/>
      <c r="AO243" s="209"/>
      <c r="AP243" s="209"/>
    </row>
    <row r="244" spans="1:42" ht="15.75" customHeight="1">
      <c r="A244" s="209"/>
      <c r="B244" s="209"/>
      <c r="C244" s="209"/>
      <c r="D244" s="209"/>
      <c r="E244" s="209"/>
      <c r="F244" s="209"/>
      <c r="G244" s="209"/>
      <c r="H244" s="296"/>
      <c r="I244" s="296"/>
      <c r="J244" s="296"/>
      <c r="K244" s="296"/>
      <c r="L244" s="296"/>
      <c r="M244" s="296"/>
      <c r="N244" s="209"/>
      <c r="O244" s="209"/>
      <c r="P244" s="209"/>
      <c r="Q244" s="209"/>
      <c r="R244" s="209"/>
      <c r="S244" s="209"/>
      <c r="T244" s="209"/>
      <c r="U244" s="209"/>
      <c r="V244" s="209"/>
      <c r="W244" s="209"/>
      <c r="X244" s="209"/>
      <c r="Y244" s="209"/>
      <c r="Z244" s="209"/>
      <c r="AA244" s="209"/>
      <c r="AB244" s="209"/>
      <c r="AC244" s="209"/>
      <c r="AD244" s="209"/>
      <c r="AE244" s="209"/>
      <c r="AF244" s="209"/>
      <c r="AG244" s="209"/>
      <c r="AH244" s="209"/>
      <c r="AI244" s="209"/>
      <c r="AJ244" s="209"/>
      <c r="AK244" s="209"/>
      <c r="AL244" s="209"/>
      <c r="AM244" s="209"/>
      <c r="AN244" s="209"/>
      <c r="AO244" s="209"/>
      <c r="AP244" s="209"/>
    </row>
    <row r="245" spans="1:42" ht="15.75" customHeight="1">
      <c r="A245" s="209"/>
      <c r="B245" s="209"/>
      <c r="C245" s="209"/>
      <c r="D245" s="209"/>
      <c r="E245" s="209"/>
      <c r="F245" s="209"/>
      <c r="G245" s="209"/>
      <c r="H245" s="296"/>
      <c r="I245" s="296"/>
      <c r="J245" s="296"/>
      <c r="K245" s="296"/>
      <c r="L245" s="296"/>
      <c r="M245" s="296"/>
      <c r="N245" s="209"/>
      <c r="O245" s="209"/>
      <c r="P245" s="209"/>
      <c r="Q245" s="209"/>
      <c r="R245" s="209"/>
      <c r="S245" s="209"/>
      <c r="T245" s="209"/>
      <c r="U245" s="209"/>
      <c r="V245" s="209"/>
      <c r="W245" s="209"/>
      <c r="X245" s="209"/>
      <c r="Y245" s="209"/>
      <c r="Z245" s="209"/>
      <c r="AA245" s="209"/>
      <c r="AB245" s="209"/>
      <c r="AC245" s="209"/>
      <c r="AD245" s="209"/>
      <c r="AE245" s="209"/>
      <c r="AF245" s="209"/>
      <c r="AG245" s="209"/>
      <c r="AH245" s="209"/>
      <c r="AI245" s="209"/>
      <c r="AJ245" s="209"/>
      <c r="AK245" s="209"/>
      <c r="AL245" s="209"/>
      <c r="AM245" s="209"/>
      <c r="AN245" s="209"/>
      <c r="AO245" s="209"/>
      <c r="AP245" s="209"/>
    </row>
    <row r="246" spans="1:42" ht="15.75" customHeight="1">
      <c r="A246" s="209"/>
      <c r="B246" s="209"/>
      <c r="C246" s="209"/>
      <c r="D246" s="209"/>
      <c r="E246" s="209"/>
      <c r="F246" s="209"/>
      <c r="G246" s="209"/>
      <c r="H246" s="296"/>
      <c r="I246" s="296"/>
      <c r="J246" s="296"/>
      <c r="K246" s="296"/>
      <c r="L246" s="296"/>
      <c r="M246" s="296"/>
      <c r="N246" s="209"/>
      <c r="O246" s="209"/>
      <c r="P246" s="209"/>
      <c r="Q246" s="209"/>
      <c r="R246" s="209"/>
      <c r="S246" s="209"/>
      <c r="T246" s="209"/>
      <c r="U246" s="209"/>
      <c r="V246" s="209"/>
      <c r="W246" s="209"/>
      <c r="X246" s="209"/>
      <c r="Y246" s="209"/>
      <c r="Z246" s="209"/>
      <c r="AA246" s="209"/>
      <c r="AB246" s="209"/>
      <c r="AC246" s="209"/>
      <c r="AD246" s="209"/>
      <c r="AE246" s="209"/>
      <c r="AF246" s="209"/>
      <c r="AG246" s="209"/>
      <c r="AH246" s="209"/>
      <c r="AI246" s="209"/>
      <c r="AJ246" s="209"/>
      <c r="AK246" s="209"/>
      <c r="AL246" s="209"/>
      <c r="AM246" s="209"/>
      <c r="AN246" s="209"/>
      <c r="AO246" s="209"/>
      <c r="AP246" s="209"/>
    </row>
    <row r="247" spans="1:42" ht="15.75" customHeight="1">
      <c r="A247" s="209"/>
      <c r="B247" s="209"/>
      <c r="C247" s="209"/>
      <c r="D247" s="209"/>
      <c r="E247" s="209"/>
      <c r="F247" s="209"/>
      <c r="G247" s="209"/>
      <c r="H247" s="296"/>
      <c r="I247" s="296"/>
      <c r="J247" s="296"/>
      <c r="K247" s="296"/>
      <c r="L247" s="296"/>
      <c r="M247" s="296"/>
      <c r="N247" s="209"/>
      <c r="O247" s="209"/>
      <c r="P247" s="209"/>
      <c r="Q247" s="209"/>
      <c r="R247" s="209"/>
      <c r="S247" s="209"/>
      <c r="T247" s="209"/>
      <c r="U247" s="209"/>
      <c r="V247" s="209"/>
      <c r="W247" s="209"/>
      <c r="X247" s="209"/>
      <c r="Y247" s="209"/>
      <c r="Z247" s="209"/>
      <c r="AA247" s="209"/>
      <c r="AB247" s="209"/>
      <c r="AC247" s="209"/>
      <c r="AD247" s="209"/>
      <c r="AE247" s="209"/>
      <c r="AF247" s="209"/>
      <c r="AG247" s="209"/>
      <c r="AH247" s="209"/>
      <c r="AI247" s="209"/>
      <c r="AJ247" s="209"/>
      <c r="AK247" s="209"/>
      <c r="AL247" s="209"/>
      <c r="AM247" s="209"/>
      <c r="AN247" s="209"/>
      <c r="AO247" s="209"/>
      <c r="AP247" s="209"/>
    </row>
    <row r="248" spans="1:42" ht="15.75" customHeight="1">
      <c r="A248" s="209"/>
      <c r="B248" s="209"/>
      <c r="C248" s="209"/>
      <c r="D248" s="209"/>
      <c r="E248" s="209"/>
      <c r="F248" s="209"/>
      <c r="G248" s="209"/>
      <c r="H248" s="296"/>
      <c r="I248" s="296"/>
      <c r="J248" s="296"/>
      <c r="K248" s="296"/>
      <c r="L248" s="296"/>
      <c r="M248" s="296"/>
      <c r="N248" s="209"/>
      <c r="O248" s="209"/>
      <c r="P248" s="209"/>
      <c r="Q248" s="209"/>
      <c r="R248" s="209"/>
      <c r="S248" s="209"/>
      <c r="T248" s="209"/>
      <c r="U248" s="209"/>
      <c r="V248" s="209"/>
      <c r="W248" s="209"/>
      <c r="X248" s="209"/>
      <c r="Y248" s="209"/>
      <c r="Z248" s="209"/>
      <c r="AA248" s="209"/>
      <c r="AB248" s="209"/>
      <c r="AC248" s="209"/>
      <c r="AD248" s="209"/>
      <c r="AE248" s="209"/>
      <c r="AF248" s="209"/>
      <c r="AG248" s="209"/>
      <c r="AH248" s="209"/>
      <c r="AI248" s="209"/>
      <c r="AJ248" s="209"/>
      <c r="AK248" s="209"/>
      <c r="AL248" s="209"/>
      <c r="AM248" s="209"/>
      <c r="AN248" s="209"/>
      <c r="AO248" s="209"/>
      <c r="AP248" s="209"/>
    </row>
    <row r="249" spans="1:42" ht="15.75" customHeight="1">
      <c r="A249" s="209"/>
      <c r="B249" s="209"/>
      <c r="C249" s="209"/>
      <c r="D249" s="209"/>
      <c r="E249" s="209"/>
      <c r="F249" s="209"/>
      <c r="G249" s="209"/>
      <c r="H249" s="296"/>
      <c r="I249" s="296"/>
      <c r="J249" s="296"/>
      <c r="K249" s="296"/>
      <c r="L249" s="296"/>
      <c r="M249" s="296"/>
      <c r="N249" s="209"/>
      <c r="O249" s="209"/>
      <c r="P249" s="209"/>
      <c r="Q249" s="209"/>
      <c r="R249" s="209"/>
      <c r="S249" s="209"/>
      <c r="T249" s="209"/>
      <c r="U249" s="209"/>
      <c r="V249" s="209"/>
      <c r="W249" s="209"/>
      <c r="X249" s="209"/>
      <c r="Y249" s="209"/>
      <c r="Z249" s="209"/>
      <c r="AA249" s="209"/>
      <c r="AB249" s="209"/>
      <c r="AC249" s="209"/>
      <c r="AD249" s="209"/>
      <c r="AE249" s="209"/>
      <c r="AF249" s="209"/>
      <c r="AG249" s="209"/>
      <c r="AH249" s="209"/>
      <c r="AI249" s="209"/>
      <c r="AJ249" s="209"/>
      <c r="AK249" s="209"/>
      <c r="AL249" s="209"/>
      <c r="AM249" s="209"/>
      <c r="AN249" s="209"/>
      <c r="AO249" s="209"/>
      <c r="AP249" s="209"/>
    </row>
    <row r="250" spans="1:42" ht="15.75" customHeight="1">
      <c r="A250" s="209"/>
      <c r="B250" s="209"/>
      <c r="C250" s="209"/>
      <c r="D250" s="209"/>
      <c r="E250" s="209"/>
      <c r="F250" s="209"/>
      <c r="G250" s="209"/>
      <c r="H250" s="296"/>
      <c r="I250" s="296"/>
      <c r="J250" s="296"/>
      <c r="K250" s="296"/>
      <c r="L250" s="296"/>
      <c r="M250" s="296"/>
      <c r="N250" s="209"/>
      <c r="O250" s="209"/>
      <c r="P250" s="209"/>
      <c r="Q250" s="209"/>
      <c r="R250" s="209"/>
      <c r="S250" s="209"/>
      <c r="T250" s="209"/>
      <c r="U250" s="209"/>
      <c r="V250" s="209"/>
      <c r="W250" s="209"/>
      <c r="X250" s="209"/>
      <c r="Y250" s="209"/>
      <c r="Z250" s="209"/>
      <c r="AA250" s="209"/>
      <c r="AB250" s="209"/>
      <c r="AC250" s="209"/>
      <c r="AD250" s="209"/>
      <c r="AE250" s="209"/>
      <c r="AF250" s="209"/>
      <c r="AG250" s="209"/>
      <c r="AH250" s="209"/>
      <c r="AI250" s="209"/>
      <c r="AJ250" s="209"/>
      <c r="AK250" s="209"/>
      <c r="AL250" s="209"/>
      <c r="AM250" s="209"/>
      <c r="AN250" s="209"/>
      <c r="AO250" s="209"/>
      <c r="AP250" s="209"/>
    </row>
    <row r="251" spans="1:42" ht="15.75" customHeight="1">
      <c r="A251" s="209"/>
      <c r="B251" s="209"/>
      <c r="C251" s="209"/>
      <c r="D251" s="209"/>
      <c r="E251" s="209"/>
      <c r="F251" s="209"/>
      <c r="G251" s="209"/>
      <c r="H251" s="296"/>
      <c r="I251" s="296"/>
      <c r="J251" s="296"/>
      <c r="K251" s="296"/>
      <c r="L251" s="296"/>
      <c r="M251" s="296"/>
      <c r="N251" s="209"/>
      <c r="O251" s="209"/>
      <c r="P251" s="209"/>
      <c r="Q251" s="209"/>
      <c r="R251" s="209"/>
      <c r="S251" s="209"/>
      <c r="T251" s="209"/>
      <c r="U251" s="209"/>
      <c r="V251" s="209"/>
      <c r="W251" s="209"/>
      <c r="X251" s="209"/>
      <c r="Y251" s="209"/>
      <c r="Z251" s="209"/>
      <c r="AA251" s="209"/>
      <c r="AB251" s="209"/>
      <c r="AC251" s="209"/>
      <c r="AD251" s="209"/>
      <c r="AE251" s="209"/>
      <c r="AF251" s="209"/>
      <c r="AG251" s="209"/>
      <c r="AH251" s="209"/>
      <c r="AI251" s="209"/>
      <c r="AJ251" s="209"/>
      <c r="AK251" s="209"/>
      <c r="AL251" s="209"/>
      <c r="AM251" s="209"/>
      <c r="AN251" s="209"/>
      <c r="AO251" s="209"/>
      <c r="AP251" s="209"/>
    </row>
    <row r="252" spans="1:42" ht="15.75" customHeight="1">
      <c r="A252" s="209"/>
      <c r="B252" s="209"/>
      <c r="C252" s="209"/>
      <c r="D252" s="209"/>
      <c r="E252" s="209"/>
      <c r="F252" s="209"/>
      <c r="G252" s="209"/>
      <c r="H252" s="296"/>
      <c r="I252" s="296"/>
      <c r="J252" s="296"/>
      <c r="K252" s="296"/>
      <c r="L252" s="296"/>
      <c r="M252" s="296"/>
      <c r="N252" s="209"/>
      <c r="O252" s="209"/>
      <c r="P252" s="209"/>
      <c r="Q252" s="209"/>
      <c r="R252" s="209"/>
      <c r="S252" s="209"/>
      <c r="T252" s="209"/>
      <c r="U252" s="209"/>
      <c r="V252" s="209"/>
      <c r="W252" s="209"/>
      <c r="X252" s="209"/>
      <c r="Y252" s="209"/>
      <c r="Z252" s="209"/>
      <c r="AA252" s="209"/>
      <c r="AB252" s="209"/>
      <c r="AC252" s="209"/>
      <c r="AD252" s="209"/>
      <c r="AE252" s="209"/>
      <c r="AF252" s="209"/>
      <c r="AG252" s="209"/>
      <c r="AH252" s="209"/>
      <c r="AI252" s="209"/>
      <c r="AJ252" s="209"/>
      <c r="AK252" s="209"/>
      <c r="AL252" s="209"/>
      <c r="AM252" s="209"/>
      <c r="AN252" s="209"/>
      <c r="AO252" s="209"/>
      <c r="AP252" s="209"/>
    </row>
    <row r="253" spans="1:42" ht="15.75" customHeight="1">
      <c r="A253" s="209"/>
      <c r="B253" s="209"/>
      <c r="C253" s="209"/>
      <c r="D253" s="209"/>
      <c r="E253" s="209"/>
      <c r="F253" s="209"/>
      <c r="G253" s="209"/>
      <c r="H253" s="296"/>
      <c r="I253" s="296"/>
      <c r="J253" s="296"/>
      <c r="K253" s="296"/>
      <c r="L253" s="296"/>
      <c r="M253" s="296"/>
      <c r="N253" s="209"/>
      <c r="O253" s="209"/>
      <c r="P253" s="209"/>
      <c r="Q253" s="209"/>
      <c r="R253" s="209"/>
      <c r="S253" s="209"/>
      <c r="T253" s="209"/>
      <c r="U253" s="209"/>
      <c r="V253" s="209"/>
      <c r="W253" s="209"/>
      <c r="X253" s="209"/>
      <c r="Y253" s="209"/>
      <c r="Z253" s="209"/>
      <c r="AA253" s="209"/>
      <c r="AB253" s="209"/>
      <c r="AC253" s="209"/>
      <c r="AD253" s="209"/>
      <c r="AE253" s="209"/>
      <c r="AF253" s="209"/>
      <c r="AG253" s="209"/>
      <c r="AH253" s="209"/>
      <c r="AI253" s="209"/>
      <c r="AJ253" s="209"/>
      <c r="AK253" s="209"/>
      <c r="AL253" s="209"/>
      <c r="AM253" s="209"/>
      <c r="AN253" s="209"/>
      <c r="AO253" s="209"/>
      <c r="AP253" s="209"/>
    </row>
    <row r="254" spans="1:42" ht="15.75" customHeight="1">
      <c r="A254" s="209"/>
      <c r="B254" s="209"/>
      <c r="C254" s="209"/>
      <c r="D254" s="209"/>
      <c r="E254" s="209"/>
      <c r="F254" s="209"/>
      <c r="G254" s="209"/>
      <c r="H254" s="296"/>
      <c r="I254" s="296"/>
      <c r="J254" s="296"/>
      <c r="K254" s="296"/>
      <c r="L254" s="296"/>
      <c r="M254" s="296"/>
      <c r="N254" s="209"/>
      <c r="O254" s="209"/>
      <c r="P254" s="209"/>
      <c r="Q254" s="209"/>
      <c r="R254" s="209"/>
      <c r="S254" s="209"/>
      <c r="T254" s="209"/>
      <c r="U254" s="209"/>
      <c r="V254" s="209"/>
      <c r="W254" s="209"/>
      <c r="X254" s="209"/>
      <c r="Y254" s="209"/>
      <c r="Z254" s="209"/>
      <c r="AA254" s="209"/>
      <c r="AB254" s="209"/>
      <c r="AC254" s="209"/>
      <c r="AD254" s="209"/>
      <c r="AE254" s="209"/>
      <c r="AF254" s="209"/>
      <c r="AG254" s="209"/>
      <c r="AH254" s="209"/>
      <c r="AI254" s="209"/>
      <c r="AJ254" s="209"/>
      <c r="AK254" s="209"/>
      <c r="AL254" s="209"/>
      <c r="AM254" s="209"/>
      <c r="AN254" s="209"/>
      <c r="AO254" s="209"/>
      <c r="AP254" s="209"/>
    </row>
    <row r="255" spans="1:42" ht="15.75" customHeight="1">
      <c r="A255" s="209"/>
      <c r="B255" s="209"/>
      <c r="C255" s="209"/>
      <c r="D255" s="209"/>
      <c r="E255" s="209"/>
      <c r="F255" s="209"/>
      <c r="G255" s="209"/>
      <c r="H255" s="296"/>
      <c r="I255" s="296"/>
      <c r="J255" s="296"/>
      <c r="K255" s="296"/>
      <c r="L255" s="296"/>
      <c r="M255" s="296"/>
      <c r="N255" s="209"/>
      <c r="O255" s="209"/>
      <c r="P255" s="209"/>
      <c r="Q255" s="209"/>
      <c r="R255" s="209"/>
      <c r="S255" s="209"/>
      <c r="T255" s="209"/>
      <c r="U255" s="209"/>
      <c r="V255" s="209"/>
      <c r="W255" s="209"/>
      <c r="X255" s="209"/>
      <c r="Y255" s="209"/>
      <c r="Z255" s="209"/>
      <c r="AA255" s="209"/>
      <c r="AB255" s="209"/>
      <c r="AC255" s="209"/>
      <c r="AD255" s="209"/>
      <c r="AE255" s="209"/>
      <c r="AF255" s="209"/>
      <c r="AG255" s="209"/>
      <c r="AH255" s="209"/>
      <c r="AI255" s="209"/>
      <c r="AJ255" s="209"/>
      <c r="AK255" s="209"/>
      <c r="AL255" s="209"/>
      <c r="AM255" s="209"/>
      <c r="AN255" s="209"/>
      <c r="AO255" s="209"/>
      <c r="AP255" s="209"/>
    </row>
    <row r="256" spans="1:42" ht="15.75" customHeight="1">
      <c r="A256" s="209"/>
      <c r="B256" s="209"/>
      <c r="C256" s="209"/>
      <c r="D256" s="209"/>
      <c r="E256" s="209"/>
      <c r="F256" s="209"/>
      <c r="G256" s="209"/>
      <c r="H256" s="296"/>
      <c r="I256" s="296"/>
      <c r="J256" s="296"/>
      <c r="K256" s="296"/>
      <c r="L256" s="296"/>
      <c r="M256" s="296"/>
      <c r="N256" s="209"/>
      <c r="O256" s="209"/>
      <c r="P256" s="209"/>
      <c r="Q256" s="209"/>
      <c r="R256" s="209"/>
      <c r="S256" s="209"/>
      <c r="T256" s="209"/>
      <c r="U256" s="209"/>
      <c r="V256" s="209"/>
      <c r="W256" s="209"/>
      <c r="X256" s="209"/>
      <c r="Y256" s="209"/>
      <c r="Z256" s="209"/>
      <c r="AA256" s="209"/>
      <c r="AB256" s="209"/>
      <c r="AC256" s="209"/>
      <c r="AD256" s="209"/>
      <c r="AE256" s="209"/>
      <c r="AF256" s="209"/>
      <c r="AG256" s="209"/>
      <c r="AH256" s="209"/>
      <c r="AI256" s="209"/>
      <c r="AJ256" s="209"/>
      <c r="AK256" s="209"/>
      <c r="AL256" s="209"/>
      <c r="AM256" s="209"/>
      <c r="AN256" s="209"/>
      <c r="AO256" s="209"/>
      <c r="AP256" s="209"/>
    </row>
    <row r="257" spans="1:42" ht="15.75" customHeight="1">
      <c r="A257" s="209"/>
      <c r="B257" s="209"/>
      <c r="C257" s="209"/>
      <c r="D257" s="209"/>
      <c r="E257" s="209"/>
      <c r="F257" s="209"/>
      <c r="G257" s="209"/>
      <c r="H257" s="296"/>
      <c r="I257" s="296"/>
      <c r="J257" s="296"/>
      <c r="K257" s="296"/>
      <c r="L257" s="296"/>
      <c r="M257" s="296"/>
      <c r="N257" s="209"/>
      <c r="O257" s="209"/>
      <c r="P257" s="209"/>
      <c r="Q257" s="209"/>
      <c r="R257" s="209"/>
      <c r="S257" s="209"/>
      <c r="T257" s="209"/>
      <c r="U257" s="209"/>
      <c r="V257" s="209"/>
      <c r="W257" s="209"/>
      <c r="X257" s="209"/>
      <c r="Y257" s="209"/>
      <c r="Z257" s="209"/>
      <c r="AA257" s="209"/>
      <c r="AB257" s="209"/>
      <c r="AC257" s="209"/>
      <c r="AD257" s="209"/>
      <c r="AE257" s="209"/>
      <c r="AF257" s="209"/>
      <c r="AG257" s="209"/>
      <c r="AH257" s="209"/>
      <c r="AI257" s="209"/>
      <c r="AJ257" s="209"/>
      <c r="AK257" s="209"/>
      <c r="AL257" s="209"/>
      <c r="AM257" s="209"/>
      <c r="AN257" s="209"/>
      <c r="AO257" s="209"/>
      <c r="AP257" s="209"/>
    </row>
    <row r="258" spans="1:42" ht="15.75" customHeight="1">
      <c r="A258" s="209"/>
      <c r="B258" s="209"/>
      <c r="C258" s="209"/>
      <c r="D258" s="209"/>
      <c r="E258" s="209"/>
      <c r="F258" s="209"/>
      <c r="G258" s="209"/>
      <c r="H258" s="296"/>
      <c r="I258" s="296"/>
      <c r="J258" s="296"/>
      <c r="K258" s="296"/>
      <c r="L258" s="296"/>
      <c r="M258" s="296"/>
      <c r="N258" s="209"/>
      <c r="O258" s="209"/>
      <c r="P258" s="209"/>
      <c r="Q258" s="209"/>
      <c r="R258" s="209"/>
      <c r="S258" s="209"/>
      <c r="T258" s="209"/>
      <c r="U258" s="209"/>
      <c r="V258" s="209"/>
      <c r="W258" s="209"/>
      <c r="X258" s="209"/>
      <c r="Y258" s="209"/>
      <c r="Z258" s="209"/>
      <c r="AA258" s="209"/>
      <c r="AB258" s="209"/>
      <c r="AC258" s="209"/>
      <c r="AD258" s="209"/>
      <c r="AE258" s="209"/>
      <c r="AF258" s="209"/>
      <c r="AG258" s="209"/>
      <c r="AH258" s="209"/>
      <c r="AI258" s="209"/>
      <c r="AJ258" s="209"/>
      <c r="AK258" s="209"/>
      <c r="AL258" s="209"/>
      <c r="AM258" s="209"/>
      <c r="AN258" s="209"/>
      <c r="AO258" s="209"/>
      <c r="AP258" s="209"/>
    </row>
    <row r="259" spans="1:42" ht="15.75" customHeight="1">
      <c r="A259" s="209"/>
      <c r="B259" s="209"/>
      <c r="C259" s="209"/>
      <c r="D259" s="209"/>
      <c r="E259" s="209"/>
      <c r="F259" s="209"/>
      <c r="G259" s="209"/>
      <c r="H259" s="296"/>
      <c r="I259" s="296"/>
      <c r="J259" s="296"/>
      <c r="K259" s="296"/>
      <c r="L259" s="296"/>
      <c r="M259" s="296"/>
      <c r="N259" s="209"/>
      <c r="O259" s="209"/>
      <c r="P259" s="209"/>
      <c r="Q259" s="209"/>
      <c r="R259" s="209"/>
      <c r="S259" s="209"/>
      <c r="T259" s="209"/>
      <c r="U259" s="209"/>
      <c r="V259" s="209"/>
      <c r="W259" s="209"/>
      <c r="X259" s="209"/>
      <c r="Y259" s="209"/>
      <c r="Z259" s="209"/>
      <c r="AA259" s="209"/>
      <c r="AB259" s="209"/>
      <c r="AC259" s="209"/>
      <c r="AD259" s="209"/>
      <c r="AE259" s="209"/>
      <c r="AF259" s="209"/>
      <c r="AG259" s="209"/>
      <c r="AH259" s="209"/>
      <c r="AI259" s="209"/>
      <c r="AJ259" s="209"/>
      <c r="AK259" s="209"/>
      <c r="AL259" s="209"/>
      <c r="AM259" s="209"/>
      <c r="AN259" s="209"/>
      <c r="AO259" s="209"/>
      <c r="AP259" s="209"/>
    </row>
    <row r="260" spans="1:42" ht="15.75" customHeight="1">
      <c r="A260" s="209"/>
      <c r="B260" s="209"/>
      <c r="C260" s="209"/>
      <c r="D260" s="209"/>
      <c r="E260" s="209"/>
      <c r="F260" s="209"/>
      <c r="G260" s="209"/>
      <c r="H260" s="296"/>
      <c r="I260" s="296"/>
      <c r="J260" s="296"/>
      <c r="K260" s="296"/>
      <c r="L260" s="296"/>
      <c r="M260" s="296"/>
      <c r="N260" s="209"/>
      <c r="O260" s="209"/>
      <c r="P260" s="209"/>
      <c r="Q260" s="209"/>
      <c r="R260" s="209"/>
      <c r="S260" s="209"/>
      <c r="T260" s="209"/>
      <c r="U260" s="209"/>
      <c r="V260" s="209"/>
      <c r="W260" s="209"/>
      <c r="X260" s="209"/>
      <c r="Y260" s="209"/>
      <c r="Z260" s="209"/>
      <c r="AA260" s="209"/>
      <c r="AB260" s="209"/>
      <c r="AC260" s="209"/>
      <c r="AD260" s="209"/>
      <c r="AE260" s="209"/>
      <c r="AF260" s="209"/>
      <c r="AG260" s="209"/>
      <c r="AH260" s="209"/>
      <c r="AI260" s="209"/>
      <c r="AJ260" s="209"/>
      <c r="AK260" s="209"/>
      <c r="AL260" s="209"/>
      <c r="AM260" s="209"/>
      <c r="AN260" s="209"/>
      <c r="AO260" s="209"/>
      <c r="AP260" s="209"/>
    </row>
    <row r="261" spans="1:42" ht="15.75" customHeight="1">
      <c r="A261" s="209"/>
      <c r="B261" s="209"/>
      <c r="C261" s="209"/>
      <c r="D261" s="209"/>
      <c r="E261" s="209"/>
      <c r="F261" s="209"/>
      <c r="G261" s="209"/>
      <c r="H261" s="296"/>
      <c r="I261" s="296"/>
      <c r="J261" s="296"/>
      <c r="K261" s="296"/>
      <c r="L261" s="296"/>
      <c r="M261" s="296"/>
      <c r="N261" s="209"/>
      <c r="O261" s="209"/>
      <c r="P261" s="209"/>
      <c r="Q261" s="209"/>
      <c r="R261" s="209"/>
      <c r="S261" s="209"/>
      <c r="T261" s="209"/>
      <c r="U261" s="209"/>
      <c r="V261" s="209"/>
      <c r="W261" s="209"/>
      <c r="X261" s="209"/>
      <c r="Y261" s="209"/>
      <c r="Z261" s="209"/>
      <c r="AA261" s="209"/>
      <c r="AB261" s="209"/>
      <c r="AC261" s="209"/>
      <c r="AD261" s="209"/>
      <c r="AE261" s="209"/>
      <c r="AF261" s="209"/>
      <c r="AG261" s="209"/>
      <c r="AH261" s="209"/>
      <c r="AI261" s="209"/>
      <c r="AJ261" s="209"/>
      <c r="AK261" s="209"/>
      <c r="AL261" s="209"/>
      <c r="AM261" s="209"/>
      <c r="AN261" s="209"/>
      <c r="AO261" s="209"/>
      <c r="AP261" s="209"/>
    </row>
    <row r="262" spans="1:42" ht="15.75" customHeight="1">
      <c r="A262" s="209"/>
      <c r="B262" s="209"/>
      <c r="C262" s="209"/>
      <c r="D262" s="209"/>
      <c r="E262" s="209"/>
      <c r="F262" s="209"/>
      <c r="G262" s="209"/>
      <c r="H262" s="296"/>
      <c r="I262" s="296"/>
      <c r="J262" s="296"/>
      <c r="K262" s="296"/>
      <c r="L262" s="296"/>
      <c r="M262" s="296"/>
      <c r="N262" s="209"/>
      <c r="O262" s="209"/>
      <c r="P262" s="209"/>
      <c r="Q262" s="209"/>
      <c r="R262" s="209"/>
      <c r="S262" s="209"/>
      <c r="T262" s="209"/>
      <c r="U262" s="209"/>
      <c r="V262" s="209"/>
      <c r="W262" s="209"/>
      <c r="X262" s="209"/>
      <c r="Y262" s="209"/>
      <c r="Z262" s="209"/>
      <c r="AA262" s="209"/>
      <c r="AB262" s="209"/>
      <c r="AC262" s="209"/>
      <c r="AD262" s="209"/>
      <c r="AE262" s="209"/>
      <c r="AF262" s="209"/>
      <c r="AG262" s="209"/>
      <c r="AH262" s="209"/>
      <c r="AI262" s="209"/>
      <c r="AJ262" s="209"/>
      <c r="AK262" s="209"/>
      <c r="AL262" s="209"/>
      <c r="AM262" s="209"/>
      <c r="AN262" s="209"/>
      <c r="AO262" s="209"/>
      <c r="AP262" s="209"/>
    </row>
    <row r="263" spans="1:42" ht="15.75" customHeight="1">
      <c r="A263" s="209"/>
      <c r="B263" s="209"/>
      <c r="C263" s="209"/>
      <c r="D263" s="209"/>
      <c r="E263" s="209"/>
      <c r="F263" s="209"/>
      <c r="G263" s="209"/>
      <c r="H263" s="296"/>
      <c r="I263" s="296"/>
      <c r="J263" s="296"/>
      <c r="K263" s="296"/>
      <c r="L263" s="296"/>
      <c r="M263" s="296"/>
      <c r="N263" s="209"/>
      <c r="O263" s="209"/>
      <c r="P263" s="209"/>
      <c r="Q263" s="209"/>
      <c r="R263" s="209"/>
      <c r="S263" s="209"/>
      <c r="T263" s="209"/>
      <c r="U263" s="209"/>
      <c r="V263" s="209"/>
      <c r="W263" s="209"/>
      <c r="X263" s="209"/>
      <c r="Y263" s="209"/>
      <c r="Z263" s="209"/>
      <c r="AA263" s="209"/>
      <c r="AB263" s="209"/>
      <c r="AC263" s="209"/>
      <c r="AD263" s="209"/>
      <c r="AE263" s="209"/>
      <c r="AF263" s="209"/>
      <c r="AG263" s="209"/>
      <c r="AH263" s="209"/>
      <c r="AI263" s="209"/>
      <c r="AJ263" s="209"/>
      <c r="AK263" s="209"/>
      <c r="AL263" s="209"/>
      <c r="AM263" s="209"/>
      <c r="AN263" s="209"/>
      <c r="AO263" s="209"/>
      <c r="AP263" s="209"/>
    </row>
    <row r="264" spans="1:42" ht="15.75" customHeight="1">
      <c r="A264" s="209"/>
      <c r="B264" s="209"/>
      <c r="C264" s="209"/>
      <c r="D264" s="209"/>
      <c r="E264" s="209"/>
      <c r="F264" s="209"/>
      <c r="G264" s="209"/>
      <c r="H264" s="296"/>
      <c r="I264" s="296"/>
      <c r="J264" s="296"/>
      <c r="K264" s="296"/>
      <c r="L264" s="296"/>
      <c r="M264" s="296"/>
      <c r="N264" s="209"/>
      <c r="O264" s="209"/>
      <c r="P264" s="209"/>
      <c r="Q264" s="209"/>
      <c r="R264" s="209"/>
      <c r="S264" s="209"/>
      <c r="T264" s="209"/>
      <c r="U264" s="209"/>
      <c r="V264" s="209"/>
      <c r="W264" s="209"/>
      <c r="X264" s="209"/>
      <c r="Y264" s="209"/>
      <c r="Z264" s="209"/>
      <c r="AA264" s="209"/>
      <c r="AB264" s="209"/>
      <c r="AC264" s="209"/>
      <c r="AD264" s="209"/>
      <c r="AE264" s="209"/>
      <c r="AF264" s="209"/>
      <c r="AG264" s="209"/>
      <c r="AH264" s="209"/>
      <c r="AI264" s="209"/>
      <c r="AJ264" s="209"/>
      <c r="AK264" s="209"/>
      <c r="AL264" s="209"/>
      <c r="AM264" s="209"/>
      <c r="AN264" s="209"/>
      <c r="AO264" s="209"/>
      <c r="AP264" s="209"/>
    </row>
    <row r="265" spans="1:42" ht="15.75" customHeight="1">
      <c r="A265" s="209"/>
      <c r="B265" s="209"/>
      <c r="C265" s="209"/>
      <c r="D265" s="209"/>
      <c r="E265" s="209"/>
      <c r="F265" s="209"/>
      <c r="G265" s="209"/>
      <c r="H265" s="296"/>
      <c r="I265" s="296"/>
      <c r="J265" s="296"/>
      <c r="K265" s="296"/>
      <c r="L265" s="296"/>
      <c r="M265" s="296"/>
      <c r="N265" s="209"/>
      <c r="O265" s="209"/>
      <c r="P265" s="209"/>
      <c r="Q265" s="209"/>
      <c r="R265" s="209"/>
      <c r="S265" s="209"/>
      <c r="T265" s="209"/>
      <c r="U265" s="209"/>
      <c r="V265" s="209"/>
      <c r="W265" s="209"/>
      <c r="X265" s="209"/>
      <c r="Y265" s="209"/>
      <c r="Z265" s="209"/>
      <c r="AA265" s="209"/>
      <c r="AB265" s="209"/>
      <c r="AC265" s="209"/>
      <c r="AD265" s="209"/>
      <c r="AE265" s="209"/>
      <c r="AF265" s="209"/>
      <c r="AG265" s="209"/>
      <c r="AH265" s="209"/>
      <c r="AI265" s="209"/>
      <c r="AJ265" s="209"/>
      <c r="AK265" s="209"/>
      <c r="AL265" s="209"/>
      <c r="AM265" s="209"/>
      <c r="AN265" s="209"/>
      <c r="AO265" s="209"/>
      <c r="AP265" s="209"/>
    </row>
    <row r="266" spans="1:42" ht="15.75" customHeight="1">
      <c r="A266" s="209"/>
      <c r="B266" s="209"/>
      <c r="C266" s="209"/>
      <c r="D266" s="209"/>
      <c r="E266" s="209"/>
      <c r="F266" s="209"/>
      <c r="G266" s="209"/>
      <c r="H266" s="296"/>
      <c r="I266" s="296"/>
      <c r="J266" s="296"/>
      <c r="K266" s="296"/>
      <c r="L266" s="296"/>
      <c r="M266" s="296"/>
      <c r="N266" s="209"/>
      <c r="O266" s="209"/>
      <c r="P266" s="209"/>
      <c r="Q266" s="209"/>
      <c r="R266" s="209"/>
      <c r="S266" s="209"/>
      <c r="T266" s="209"/>
      <c r="U266" s="209"/>
      <c r="V266" s="209"/>
      <c r="W266" s="209"/>
      <c r="X266" s="209"/>
      <c r="Y266" s="209"/>
      <c r="Z266" s="209"/>
      <c r="AA266" s="209"/>
      <c r="AB266" s="209"/>
      <c r="AC266" s="209"/>
      <c r="AD266" s="209"/>
      <c r="AE266" s="209"/>
      <c r="AF266" s="209"/>
      <c r="AG266" s="209"/>
      <c r="AH266" s="209"/>
      <c r="AI266" s="209"/>
      <c r="AJ266" s="209"/>
      <c r="AK266" s="209"/>
      <c r="AL266" s="209"/>
      <c r="AM266" s="209"/>
      <c r="AN266" s="209"/>
      <c r="AO266" s="209"/>
      <c r="AP266" s="209"/>
    </row>
    <row r="267" spans="1:42" ht="15.75" customHeight="1">
      <c r="A267" s="209"/>
      <c r="B267" s="209"/>
      <c r="C267" s="209"/>
      <c r="D267" s="209"/>
      <c r="E267" s="209"/>
      <c r="F267" s="209"/>
      <c r="G267" s="209"/>
      <c r="H267" s="296"/>
      <c r="I267" s="296"/>
      <c r="J267" s="296"/>
      <c r="K267" s="296"/>
      <c r="L267" s="296"/>
      <c r="M267" s="296"/>
      <c r="N267" s="209"/>
      <c r="O267" s="209"/>
      <c r="P267" s="209"/>
      <c r="Q267" s="209"/>
      <c r="R267" s="209"/>
      <c r="S267" s="209"/>
      <c r="T267" s="209"/>
      <c r="U267" s="209"/>
      <c r="V267" s="209"/>
      <c r="W267" s="209"/>
      <c r="X267" s="209"/>
      <c r="Y267" s="209"/>
      <c r="Z267" s="209"/>
      <c r="AA267" s="209"/>
      <c r="AB267" s="209"/>
      <c r="AC267" s="209"/>
      <c r="AD267" s="209"/>
      <c r="AE267" s="209"/>
      <c r="AF267" s="209"/>
      <c r="AG267" s="209"/>
      <c r="AH267" s="209"/>
      <c r="AI267" s="209"/>
      <c r="AJ267" s="209"/>
      <c r="AK267" s="209"/>
      <c r="AL267" s="209"/>
      <c r="AM267" s="209"/>
      <c r="AN267" s="209"/>
      <c r="AO267" s="209"/>
      <c r="AP267" s="209"/>
    </row>
    <row r="268" spans="1:42" ht="15.75" customHeight="1">
      <c r="A268" s="209"/>
      <c r="B268" s="209"/>
      <c r="C268" s="209"/>
      <c r="D268" s="209"/>
      <c r="E268" s="209"/>
      <c r="F268" s="209"/>
      <c r="G268" s="209"/>
      <c r="H268" s="296"/>
      <c r="I268" s="296"/>
      <c r="J268" s="296"/>
      <c r="K268" s="296"/>
      <c r="L268" s="296"/>
      <c r="M268" s="296"/>
      <c r="N268" s="209"/>
      <c r="O268" s="209"/>
      <c r="P268" s="209"/>
      <c r="Q268" s="209"/>
      <c r="R268" s="209"/>
      <c r="S268" s="209"/>
      <c r="T268" s="209"/>
      <c r="U268" s="209"/>
      <c r="V268" s="209"/>
      <c r="W268" s="209"/>
      <c r="X268" s="209"/>
      <c r="Y268" s="209"/>
      <c r="Z268" s="209"/>
      <c r="AA268" s="209"/>
      <c r="AB268" s="209"/>
      <c r="AC268" s="209"/>
      <c r="AD268" s="209"/>
      <c r="AE268" s="209"/>
      <c r="AF268" s="209"/>
      <c r="AG268" s="209"/>
      <c r="AH268" s="209"/>
      <c r="AI268" s="209"/>
      <c r="AJ268" s="209"/>
      <c r="AK268" s="209"/>
      <c r="AL268" s="209"/>
      <c r="AM268" s="209"/>
      <c r="AN268" s="209"/>
      <c r="AO268" s="209"/>
      <c r="AP268" s="209"/>
    </row>
    <row r="269" spans="1:42" ht="15.75" customHeight="1">
      <c r="A269" s="209"/>
      <c r="B269" s="209"/>
      <c r="C269" s="209"/>
      <c r="D269" s="209"/>
      <c r="E269" s="209"/>
      <c r="F269" s="209"/>
      <c r="G269" s="209"/>
      <c r="H269" s="296"/>
      <c r="I269" s="296"/>
      <c r="J269" s="296"/>
      <c r="K269" s="296"/>
      <c r="L269" s="296"/>
      <c r="M269" s="296"/>
      <c r="N269" s="209"/>
      <c r="O269" s="209"/>
      <c r="P269" s="209"/>
      <c r="Q269" s="209"/>
      <c r="R269" s="209"/>
      <c r="S269" s="209"/>
      <c r="T269" s="209"/>
      <c r="U269" s="209"/>
      <c r="V269" s="209"/>
      <c r="W269" s="209"/>
      <c r="X269" s="209"/>
      <c r="Y269" s="209"/>
      <c r="Z269" s="209"/>
      <c r="AA269" s="209"/>
      <c r="AB269" s="209"/>
      <c r="AC269" s="209"/>
      <c r="AD269" s="209"/>
      <c r="AE269" s="209"/>
      <c r="AF269" s="209"/>
      <c r="AG269" s="209"/>
      <c r="AH269" s="209"/>
      <c r="AI269" s="209"/>
      <c r="AJ269" s="209"/>
      <c r="AK269" s="209"/>
      <c r="AL269" s="209"/>
      <c r="AM269" s="209"/>
      <c r="AN269" s="209"/>
      <c r="AO269" s="209"/>
      <c r="AP269" s="209"/>
    </row>
    <row r="270" spans="1:42" ht="15.75" customHeight="1">
      <c r="A270" s="209"/>
      <c r="B270" s="209"/>
      <c r="C270" s="209"/>
      <c r="D270" s="209"/>
      <c r="E270" s="209"/>
      <c r="F270" s="209"/>
      <c r="G270" s="209"/>
      <c r="H270" s="296"/>
      <c r="I270" s="296"/>
      <c r="J270" s="296"/>
      <c r="K270" s="296"/>
      <c r="L270" s="296"/>
      <c r="M270" s="296"/>
      <c r="N270" s="209"/>
      <c r="O270" s="209"/>
      <c r="P270" s="209"/>
      <c r="Q270" s="209"/>
      <c r="R270" s="209"/>
      <c r="S270" s="209"/>
      <c r="T270" s="209"/>
      <c r="U270" s="209"/>
      <c r="V270" s="209"/>
      <c r="W270" s="209"/>
      <c r="X270" s="209"/>
      <c r="Y270" s="209"/>
      <c r="Z270" s="209"/>
      <c r="AA270" s="209"/>
      <c r="AB270" s="209"/>
      <c r="AC270" s="209"/>
      <c r="AD270" s="209"/>
      <c r="AE270" s="209"/>
      <c r="AF270" s="209"/>
      <c r="AG270" s="209"/>
      <c r="AH270" s="209"/>
      <c r="AI270" s="209"/>
      <c r="AJ270" s="209"/>
      <c r="AK270" s="209"/>
      <c r="AL270" s="209"/>
      <c r="AM270" s="209"/>
      <c r="AN270" s="209"/>
      <c r="AO270" s="209"/>
      <c r="AP270" s="209"/>
    </row>
    <row r="271" spans="1:42" ht="15.75" customHeight="1">
      <c r="A271" s="209"/>
      <c r="B271" s="209"/>
      <c r="C271" s="209"/>
      <c r="D271" s="209"/>
      <c r="E271" s="209"/>
      <c r="F271" s="209"/>
      <c r="G271" s="209"/>
      <c r="H271" s="296"/>
      <c r="I271" s="296"/>
      <c r="J271" s="296"/>
      <c r="K271" s="296"/>
      <c r="L271" s="296"/>
      <c r="M271" s="296"/>
      <c r="N271" s="209"/>
      <c r="O271" s="209"/>
      <c r="P271" s="209"/>
      <c r="Q271" s="209"/>
      <c r="R271" s="209"/>
      <c r="S271" s="209"/>
      <c r="T271" s="209"/>
      <c r="U271" s="209"/>
      <c r="V271" s="209"/>
      <c r="W271" s="209"/>
      <c r="X271" s="209"/>
      <c r="Y271" s="209"/>
      <c r="Z271" s="209"/>
      <c r="AA271" s="209"/>
      <c r="AB271" s="209"/>
      <c r="AC271" s="209"/>
      <c r="AD271" s="209"/>
      <c r="AE271" s="209"/>
      <c r="AF271" s="209"/>
      <c r="AG271" s="209"/>
      <c r="AH271" s="209"/>
      <c r="AI271" s="209"/>
      <c r="AJ271" s="209"/>
      <c r="AK271" s="209"/>
      <c r="AL271" s="209"/>
      <c r="AM271" s="209"/>
      <c r="AN271" s="209"/>
      <c r="AO271" s="209"/>
      <c r="AP271" s="209"/>
    </row>
    <row r="272" spans="1:42" ht="15.75" customHeight="1">
      <c r="A272" s="209"/>
      <c r="B272" s="209"/>
      <c r="C272" s="209"/>
      <c r="D272" s="209"/>
      <c r="E272" s="209"/>
      <c r="F272" s="209"/>
      <c r="G272" s="209"/>
      <c r="H272" s="296"/>
      <c r="I272" s="296"/>
      <c r="J272" s="296"/>
      <c r="K272" s="296"/>
      <c r="L272" s="296"/>
      <c r="M272" s="296"/>
      <c r="N272" s="209"/>
      <c r="O272" s="209"/>
      <c r="P272" s="209"/>
      <c r="Q272" s="209"/>
      <c r="R272" s="209"/>
      <c r="S272" s="209"/>
      <c r="T272" s="209"/>
      <c r="U272" s="209"/>
      <c r="V272" s="209"/>
      <c r="W272" s="209"/>
      <c r="X272" s="209"/>
      <c r="Y272" s="209"/>
      <c r="Z272" s="209"/>
      <c r="AA272" s="209"/>
      <c r="AB272" s="209"/>
      <c r="AC272" s="209"/>
      <c r="AD272" s="209"/>
      <c r="AE272" s="209"/>
      <c r="AF272" s="209"/>
      <c r="AG272" s="209"/>
      <c r="AH272" s="209"/>
      <c r="AI272" s="209"/>
      <c r="AJ272" s="209"/>
      <c r="AK272" s="209"/>
      <c r="AL272" s="209"/>
      <c r="AM272" s="209"/>
      <c r="AN272" s="209"/>
      <c r="AO272" s="209"/>
      <c r="AP272" s="209"/>
    </row>
    <row r="273" spans="1:42" ht="15.75" customHeight="1">
      <c r="A273" s="209"/>
      <c r="B273" s="209"/>
      <c r="C273" s="209"/>
      <c r="D273" s="209"/>
      <c r="E273" s="209"/>
      <c r="F273" s="209"/>
      <c r="G273" s="209"/>
      <c r="H273" s="296"/>
      <c r="I273" s="296"/>
      <c r="J273" s="296"/>
      <c r="K273" s="296"/>
      <c r="L273" s="296"/>
      <c r="M273" s="296"/>
      <c r="N273" s="209"/>
      <c r="O273" s="209"/>
      <c r="P273" s="209"/>
      <c r="Q273" s="209"/>
      <c r="R273" s="209"/>
      <c r="S273" s="209"/>
      <c r="T273" s="209"/>
      <c r="U273" s="209"/>
      <c r="V273" s="209"/>
      <c r="W273" s="209"/>
      <c r="X273" s="209"/>
      <c r="Y273" s="209"/>
      <c r="Z273" s="209"/>
      <c r="AA273" s="209"/>
      <c r="AB273" s="209"/>
      <c r="AC273" s="209"/>
      <c r="AD273" s="209"/>
      <c r="AE273" s="209"/>
      <c r="AF273" s="209"/>
      <c r="AG273" s="209"/>
      <c r="AH273" s="209"/>
      <c r="AI273" s="209"/>
      <c r="AJ273" s="209"/>
      <c r="AK273" s="209"/>
      <c r="AL273" s="209"/>
      <c r="AM273" s="209"/>
      <c r="AN273" s="209"/>
      <c r="AO273" s="209"/>
      <c r="AP273" s="209"/>
    </row>
    <row r="274" spans="1:42" ht="15.75" customHeight="1">
      <c r="A274" s="209"/>
      <c r="B274" s="209"/>
      <c r="C274" s="209"/>
      <c r="D274" s="209"/>
      <c r="E274" s="209"/>
      <c r="F274" s="209"/>
      <c r="G274" s="209"/>
      <c r="H274" s="296"/>
      <c r="I274" s="296"/>
      <c r="J274" s="296"/>
      <c r="K274" s="296"/>
      <c r="L274" s="296"/>
      <c r="M274" s="296"/>
      <c r="N274" s="209"/>
      <c r="O274" s="209"/>
      <c r="P274" s="209"/>
      <c r="Q274" s="209"/>
      <c r="R274" s="209"/>
      <c r="S274" s="209"/>
      <c r="T274" s="209"/>
      <c r="U274" s="209"/>
      <c r="V274" s="209"/>
      <c r="W274" s="209"/>
      <c r="X274" s="209"/>
      <c r="Y274" s="209"/>
      <c r="Z274" s="209"/>
      <c r="AA274" s="209"/>
      <c r="AB274" s="209"/>
      <c r="AC274" s="209"/>
      <c r="AD274" s="209"/>
      <c r="AE274" s="209"/>
      <c r="AF274" s="209"/>
      <c r="AG274" s="209"/>
      <c r="AH274" s="209"/>
      <c r="AI274" s="209"/>
      <c r="AJ274" s="209"/>
      <c r="AK274" s="209"/>
      <c r="AL274" s="209"/>
      <c r="AM274" s="209"/>
      <c r="AN274" s="209"/>
      <c r="AO274" s="209"/>
      <c r="AP274" s="209"/>
    </row>
    <row r="275" spans="1:42" ht="15.75" customHeight="1">
      <c r="A275" s="209"/>
      <c r="B275" s="209"/>
      <c r="C275" s="209"/>
      <c r="D275" s="209"/>
      <c r="E275" s="209"/>
      <c r="F275" s="209"/>
      <c r="G275" s="209"/>
      <c r="H275" s="296"/>
      <c r="I275" s="296"/>
      <c r="J275" s="296"/>
      <c r="K275" s="296"/>
      <c r="L275" s="296"/>
      <c r="M275" s="296"/>
      <c r="N275" s="209"/>
      <c r="O275" s="209"/>
      <c r="P275" s="209"/>
      <c r="Q275" s="209"/>
      <c r="R275" s="209"/>
      <c r="S275" s="209"/>
      <c r="T275" s="209"/>
      <c r="U275" s="209"/>
      <c r="V275" s="209"/>
      <c r="W275" s="209"/>
      <c r="X275" s="209"/>
      <c r="Y275" s="209"/>
      <c r="Z275" s="209"/>
      <c r="AA275" s="209"/>
      <c r="AB275" s="209"/>
      <c r="AC275" s="209"/>
      <c r="AD275" s="209"/>
      <c r="AE275" s="209"/>
      <c r="AF275" s="209"/>
      <c r="AG275" s="209"/>
      <c r="AH275" s="209"/>
      <c r="AI275" s="209"/>
      <c r="AJ275" s="209"/>
      <c r="AK275" s="209"/>
      <c r="AL275" s="209"/>
      <c r="AM275" s="209"/>
      <c r="AN275" s="209"/>
      <c r="AO275" s="209"/>
      <c r="AP275" s="209"/>
    </row>
    <row r="276" spans="1:42" ht="15.75" customHeight="1">
      <c r="A276" s="209"/>
      <c r="B276" s="209"/>
      <c r="C276" s="209"/>
      <c r="D276" s="209"/>
      <c r="E276" s="209"/>
      <c r="F276" s="209"/>
      <c r="G276" s="209"/>
      <c r="H276" s="296"/>
      <c r="I276" s="296"/>
      <c r="J276" s="296"/>
      <c r="K276" s="296"/>
      <c r="L276" s="296"/>
      <c r="M276" s="296"/>
      <c r="N276" s="209"/>
      <c r="O276" s="209"/>
      <c r="P276" s="209"/>
      <c r="Q276" s="209"/>
      <c r="R276" s="209"/>
      <c r="S276" s="209"/>
      <c r="T276" s="209"/>
      <c r="U276" s="209"/>
      <c r="V276" s="209"/>
      <c r="W276" s="209"/>
      <c r="X276" s="209"/>
      <c r="Y276" s="209"/>
      <c r="Z276" s="209"/>
      <c r="AA276" s="209"/>
      <c r="AB276" s="209"/>
      <c r="AC276" s="209"/>
      <c r="AD276" s="209"/>
      <c r="AE276" s="209"/>
      <c r="AF276" s="209"/>
      <c r="AG276" s="209"/>
      <c r="AH276" s="209"/>
      <c r="AI276" s="209"/>
      <c r="AJ276" s="209"/>
      <c r="AK276" s="209"/>
      <c r="AL276" s="209"/>
      <c r="AM276" s="209"/>
      <c r="AN276" s="209"/>
      <c r="AO276" s="209"/>
      <c r="AP276" s="209"/>
    </row>
    <row r="277" spans="1:42" ht="15.75" customHeight="1">
      <c r="A277" s="209"/>
      <c r="B277" s="209"/>
      <c r="C277" s="209"/>
      <c r="D277" s="209"/>
      <c r="E277" s="209"/>
      <c r="F277" s="209"/>
      <c r="G277" s="209"/>
      <c r="H277" s="296"/>
      <c r="I277" s="296"/>
      <c r="J277" s="296"/>
      <c r="K277" s="296"/>
      <c r="L277" s="296"/>
      <c r="M277" s="296"/>
      <c r="N277" s="209"/>
      <c r="O277" s="209"/>
      <c r="P277" s="209"/>
      <c r="Q277" s="209"/>
      <c r="R277" s="209"/>
      <c r="S277" s="209"/>
      <c r="T277" s="209"/>
      <c r="U277" s="209"/>
      <c r="V277" s="209"/>
      <c r="W277" s="209"/>
      <c r="X277" s="209"/>
      <c r="Y277" s="209"/>
      <c r="Z277" s="209"/>
      <c r="AA277" s="209"/>
      <c r="AB277" s="209"/>
      <c r="AC277" s="209"/>
      <c r="AD277" s="209"/>
      <c r="AE277" s="209"/>
      <c r="AF277" s="209"/>
      <c r="AG277" s="209"/>
      <c r="AH277" s="209"/>
      <c r="AI277" s="209"/>
      <c r="AJ277" s="209"/>
      <c r="AK277" s="209"/>
      <c r="AL277" s="209"/>
      <c r="AM277" s="209"/>
      <c r="AN277" s="209"/>
      <c r="AO277" s="209"/>
      <c r="AP277" s="209"/>
    </row>
    <row r="278" spans="1:42" ht="15.75" customHeight="1">
      <c r="A278" s="209"/>
      <c r="B278" s="209"/>
      <c r="C278" s="209"/>
      <c r="D278" s="209"/>
      <c r="E278" s="209"/>
      <c r="F278" s="209"/>
      <c r="G278" s="209"/>
      <c r="H278" s="296"/>
      <c r="I278" s="296"/>
      <c r="J278" s="296"/>
      <c r="K278" s="296"/>
      <c r="L278" s="296"/>
      <c r="M278" s="296"/>
      <c r="N278" s="209"/>
      <c r="O278" s="209"/>
      <c r="P278" s="209"/>
      <c r="Q278" s="209"/>
      <c r="R278" s="209"/>
      <c r="S278" s="209"/>
      <c r="T278" s="209"/>
      <c r="U278" s="209"/>
      <c r="V278" s="209"/>
      <c r="W278" s="209"/>
      <c r="X278" s="209"/>
      <c r="Y278" s="209"/>
      <c r="Z278" s="209"/>
      <c r="AA278" s="209"/>
      <c r="AB278" s="209"/>
      <c r="AC278" s="209"/>
      <c r="AD278" s="209"/>
      <c r="AE278" s="209"/>
      <c r="AF278" s="209"/>
      <c r="AG278" s="209"/>
      <c r="AH278" s="209"/>
      <c r="AI278" s="209"/>
      <c r="AJ278" s="209"/>
      <c r="AK278" s="209"/>
      <c r="AL278" s="209"/>
      <c r="AM278" s="209"/>
      <c r="AN278" s="209"/>
      <c r="AO278" s="209"/>
      <c r="AP278" s="209"/>
    </row>
    <row r="279" spans="1:42" ht="15.75" customHeight="1">
      <c r="A279" s="209"/>
      <c r="B279" s="209"/>
      <c r="C279" s="209"/>
      <c r="D279" s="209"/>
      <c r="E279" s="209"/>
      <c r="F279" s="209"/>
      <c r="G279" s="209"/>
      <c r="H279" s="296"/>
      <c r="I279" s="296"/>
      <c r="J279" s="296"/>
      <c r="K279" s="296"/>
      <c r="L279" s="296"/>
      <c r="M279" s="296"/>
      <c r="N279" s="209"/>
      <c r="O279" s="209"/>
      <c r="P279" s="209"/>
      <c r="Q279" s="209"/>
      <c r="R279" s="209"/>
      <c r="S279" s="209"/>
      <c r="T279" s="209"/>
      <c r="U279" s="209"/>
      <c r="V279" s="209"/>
      <c r="W279" s="209"/>
      <c r="X279" s="209"/>
      <c r="Y279" s="209"/>
      <c r="Z279" s="209"/>
      <c r="AA279" s="209"/>
      <c r="AB279" s="209"/>
      <c r="AC279" s="209"/>
      <c r="AD279" s="209"/>
      <c r="AE279" s="209"/>
      <c r="AF279" s="209"/>
      <c r="AG279" s="209"/>
      <c r="AH279" s="209"/>
      <c r="AI279" s="209"/>
      <c r="AJ279" s="209"/>
      <c r="AK279" s="209"/>
      <c r="AL279" s="209"/>
      <c r="AM279" s="209"/>
      <c r="AN279" s="209"/>
      <c r="AO279" s="209"/>
      <c r="AP279" s="209"/>
    </row>
    <row r="280" spans="1:42" ht="15.75" customHeight="1">
      <c r="A280" s="209"/>
      <c r="B280" s="209"/>
      <c r="C280" s="209"/>
      <c r="D280" s="209"/>
      <c r="E280" s="209"/>
      <c r="F280" s="209"/>
      <c r="G280" s="209"/>
      <c r="H280" s="296"/>
      <c r="I280" s="296"/>
      <c r="J280" s="296"/>
      <c r="K280" s="296"/>
      <c r="L280" s="296"/>
      <c r="M280" s="296"/>
      <c r="N280" s="209"/>
      <c r="O280" s="209"/>
      <c r="P280" s="209"/>
      <c r="Q280" s="209"/>
      <c r="R280" s="209"/>
      <c r="S280" s="209"/>
      <c r="T280" s="209"/>
      <c r="U280" s="209"/>
      <c r="V280" s="209"/>
      <c r="W280" s="209"/>
      <c r="X280" s="209"/>
      <c r="Y280" s="209"/>
      <c r="Z280" s="209"/>
      <c r="AA280" s="209"/>
      <c r="AB280" s="209"/>
      <c r="AC280" s="209"/>
      <c r="AD280" s="209"/>
      <c r="AE280" s="209"/>
      <c r="AF280" s="209"/>
      <c r="AG280" s="209"/>
      <c r="AH280" s="209"/>
      <c r="AI280" s="209"/>
      <c r="AJ280" s="209"/>
      <c r="AK280" s="209"/>
      <c r="AL280" s="209"/>
      <c r="AM280" s="209"/>
      <c r="AN280" s="209"/>
      <c r="AO280" s="209"/>
      <c r="AP280" s="209"/>
    </row>
    <row r="281" spans="1:42" ht="15.75" customHeight="1">
      <c r="A281" s="209"/>
      <c r="B281" s="209"/>
      <c r="C281" s="209"/>
      <c r="D281" s="209"/>
      <c r="E281" s="209"/>
      <c r="F281" s="209"/>
      <c r="G281" s="209"/>
      <c r="H281" s="296"/>
      <c r="I281" s="296"/>
      <c r="J281" s="296"/>
      <c r="K281" s="296"/>
      <c r="L281" s="296"/>
      <c r="M281" s="296"/>
      <c r="N281" s="209"/>
      <c r="O281" s="209"/>
      <c r="P281" s="209"/>
      <c r="Q281" s="209"/>
      <c r="R281" s="209"/>
      <c r="S281" s="209"/>
      <c r="T281" s="209"/>
      <c r="U281" s="209"/>
      <c r="V281" s="209"/>
      <c r="W281" s="209"/>
      <c r="X281" s="209"/>
      <c r="Y281" s="209"/>
      <c r="Z281" s="209"/>
      <c r="AA281" s="209"/>
      <c r="AB281" s="209"/>
      <c r="AC281" s="209"/>
      <c r="AD281" s="209"/>
      <c r="AE281" s="209"/>
      <c r="AF281" s="209"/>
      <c r="AG281" s="209"/>
      <c r="AH281" s="209"/>
      <c r="AI281" s="209"/>
      <c r="AJ281" s="209"/>
      <c r="AK281" s="209"/>
      <c r="AL281" s="209"/>
      <c r="AM281" s="209"/>
      <c r="AN281" s="209"/>
      <c r="AO281" s="209"/>
      <c r="AP281" s="209"/>
    </row>
    <row r="282" spans="1:42" ht="15.75" customHeight="1">
      <c r="A282" s="209"/>
      <c r="B282" s="209"/>
      <c r="C282" s="209"/>
      <c r="D282" s="209"/>
      <c r="E282" s="209"/>
      <c r="F282" s="209"/>
      <c r="G282" s="209"/>
      <c r="H282" s="296"/>
      <c r="I282" s="296"/>
      <c r="J282" s="296"/>
      <c r="K282" s="296"/>
      <c r="L282" s="296"/>
      <c r="M282" s="296"/>
      <c r="N282" s="209"/>
      <c r="O282" s="209"/>
      <c r="P282" s="209"/>
      <c r="Q282" s="209"/>
      <c r="R282" s="209"/>
      <c r="S282" s="209"/>
      <c r="T282" s="209"/>
      <c r="U282" s="209"/>
      <c r="V282" s="209"/>
      <c r="W282" s="209"/>
      <c r="X282" s="209"/>
      <c r="Y282" s="209"/>
      <c r="Z282" s="209"/>
      <c r="AA282" s="209"/>
      <c r="AB282" s="209"/>
      <c r="AC282" s="209"/>
      <c r="AD282" s="209"/>
      <c r="AE282" s="209"/>
      <c r="AF282" s="209"/>
      <c r="AG282" s="209"/>
      <c r="AH282" s="209"/>
      <c r="AI282" s="209"/>
      <c r="AJ282" s="209"/>
      <c r="AK282" s="209"/>
      <c r="AL282" s="209"/>
      <c r="AM282" s="209"/>
      <c r="AN282" s="209"/>
      <c r="AO282" s="209"/>
      <c r="AP282" s="209"/>
    </row>
    <row r="283" spans="1:42" ht="15.75" customHeight="1">
      <c r="A283" s="209"/>
      <c r="B283" s="209"/>
      <c r="C283" s="209"/>
      <c r="D283" s="209"/>
      <c r="E283" s="209"/>
      <c r="F283" s="209"/>
      <c r="G283" s="209"/>
      <c r="H283" s="296"/>
      <c r="I283" s="296"/>
      <c r="J283" s="296"/>
      <c r="K283" s="296"/>
      <c r="L283" s="296"/>
      <c r="M283" s="296"/>
      <c r="N283" s="209"/>
      <c r="O283" s="209"/>
      <c r="P283" s="209"/>
      <c r="Q283" s="209"/>
      <c r="R283" s="209"/>
      <c r="S283" s="209"/>
      <c r="T283" s="209"/>
      <c r="U283" s="209"/>
      <c r="V283" s="209"/>
      <c r="W283" s="209"/>
      <c r="X283" s="209"/>
      <c r="Y283" s="209"/>
      <c r="Z283" s="209"/>
      <c r="AA283" s="209"/>
      <c r="AB283" s="209"/>
      <c r="AC283" s="209"/>
      <c r="AD283" s="209"/>
      <c r="AE283" s="209"/>
      <c r="AF283" s="209"/>
      <c r="AG283" s="209"/>
      <c r="AH283" s="209"/>
      <c r="AI283" s="209"/>
      <c r="AJ283" s="209"/>
      <c r="AK283" s="209"/>
      <c r="AL283" s="209"/>
      <c r="AM283" s="209"/>
      <c r="AN283" s="209"/>
      <c r="AO283" s="209"/>
      <c r="AP283" s="209"/>
    </row>
    <row r="284" spans="1:42" ht="15.75" customHeight="1">
      <c r="A284" s="209"/>
      <c r="B284" s="209"/>
      <c r="C284" s="209"/>
      <c r="D284" s="209"/>
      <c r="E284" s="209"/>
      <c r="F284" s="209"/>
      <c r="G284" s="209"/>
      <c r="H284" s="296"/>
      <c r="I284" s="296"/>
      <c r="J284" s="296"/>
      <c r="K284" s="296"/>
      <c r="L284" s="296"/>
      <c r="M284" s="296"/>
      <c r="N284" s="209"/>
      <c r="O284" s="209"/>
      <c r="P284" s="209"/>
      <c r="Q284" s="209"/>
      <c r="R284" s="209"/>
      <c r="S284" s="209"/>
      <c r="T284" s="209"/>
      <c r="U284" s="209"/>
      <c r="V284" s="209"/>
      <c r="W284" s="209"/>
      <c r="X284" s="209"/>
      <c r="Y284" s="209"/>
      <c r="Z284" s="209"/>
      <c r="AA284" s="209"/>
      <c r="AB284" s="209"/>
      <c r="AC284" s="209"/>
      <c r="AD284" s="209"/>
      <c r="AE284" s="209"/>
      <c r="AF284" s="209"/>
      <c r="AG284" s="209"/>
      <c r="AH284" s="209"/>
      <c r="AI284" s="209"/>
      <c r="AJ284" s="209"/>
      <c r="AK284" s="209"/>
      <c r="AL284" s="209"/>
      <c r="AM284" s="209"/>
      <c r="AN284" s="209"/>
      <c r="AO284" s="209"/>
      <c r="AP284" s="209"/>
    </row>
    <row r="285" spans="1:42" ht="15.75" customHeight="1">
      <c r="A285" s="209"/>
      <c r="B285" s="209"/>
      <c r="C285" s="209"/>
      <c r="D285" s="209"/>
      <c r="E285" s="209"/>
      <c r="F285" s="209"/>
      <c r="G285" s="209"/>
      <c r="H285" s="296"/>
      <c r="I285" s="296"/>
      <c r="J285" s="296"/>
      <c r="K285" s="296"/>
      <c r="L285" s="296"/>
      <c r="M285" s="296"/>
      <c r="N285" s="209"/>
      <c r="O285" s="209"/>
      <c r="P285" s="209"/>
      <c r="Q285" s="209"/>
      <c r="R285" s="209"/>
      <c r="S285" s="209"/>
      <c r="T285" s="209"/>
      <c r="U285" s="209"/>
      <c r="V285" s="209"/>
      <c r="W285" s="209"/>
      <c r="X285" s="209"/>
      <c r="Y285" s="209"/>
      <c r="Z285" s="209"/>
      <c r="AA285" s="209"/>
      <c r="AB285" s="209"/>
      <c r="AC285" s="209"/>
      <c r="AD285" s="209"/>
      <c r="AE285" s="209"/>
      <c r="AF285" s="209"/>
      <c r="AG285" s="209"/>
      <c r="AH285" s="209"/>
      <c r="AI285" s="209"/>
      <c r="AJ285" s="209"/>
      <c r="AK285" s="209"/>
      <c r="AL285" s="209"/>
      <c r="AM285" s="209"/>
      <c r="AN285" s="209"/>
      <c r="AO285" s="209"/>
      <c r="AP285" s="209"/>
    </row>
    <row r="286" spans="1:42" ht="15.75" customHeight="1">
      <c r="A286" s="209"/>
      <c r="B286" s="209"/>
      <c r="C286" s="209"/>
      <c r="D286" s="209"/>
      <c r="E286" s="209"/>
      <c r="F286" s="209"/>
      <c r="G286" s="209"/>
      <c r="H286" s="296"/>
      <c r="I286" s="296"/>
      <c r="J286" s="296"/>
      <c r="K286" s="296"/>
      <c r="L286" s="296"/>
      <c r="M286" s="296"/>
      <c r="N286" s="209"/>
      <c r="O286" s="209"/>
      <c r="P286" s="209"/>
      <c r="Q286" s="209"/>
      <c r="R286" s="209"/>
      <c r="S286" s="209"/>
      <c r="T286" s="209"/>
      <c r="U286" s="209"/>
      <c r="V286" s="209"/>
      <c r="W286" s="209"/>
      <c r="X286" s="209"/>
      <c r="Y286" s="209"/>
      <c r="Z286" s="209"/>
      <c r="AA286" s="209"/>
      <c r="AB286" s="209"/>
      <c r="AC286" s="209"/>
      <c r="AD286" s="209"/>
      <c r="AE286" s="209"/>
      <c r="AF286" s="209"/>
      <c r="AG286" s="209"/>
      <c r="AH286" s="209"/>
      <c r="AI286" s="209"/>
      <c r="AJ286" s="209"/>
      <c r="AK286" s="209"/>
      <c r="AL286" s="209"/>
      <c r="AM286" s="209"/>
      <c r="AN286" s="209"/>
      <c r="AO286" s="209"/>
      <c r="AP286" s="209"/>
    </row>
    <row r="287" spans="1:42" ht="15.75" customHeight="1">
      <c r="A287" s="209"/>
      <c r="B287" s="209"/>
      <c r="C287" s="209"/>
      <c r="D287" s="209"/>
      <c r="E287" s="209"/>
      <c r="F287" s="209"/>
      <c r="G287" s="209"/>
      <c r="H287" s="296"/>
      <c r="I287" s="296"/>
      <c r="J287" s="296"/>
      <c r="K287" s="296"/>
      <c r="L287" s="296"/>
      <c r="M287" s="296"/>
      <c r="N287" s="209"/>
      <c r="O287" s="209"/>
      <c r="P287" s="209"/>
      <c r="Q287" s="209"/>
      <c r="R287" s="209"/>
      <c r="S287" s="209"/>
      <c r="T287" s="209"/>
      <c r="U287" s="209"/>
      <c r="V287" s="209"/>
      <c r="W287" s="209"/>
      <c r="X287" s="209"/>
      <c r="Y287" s="209"/>
      <c r="Z287" s="209"/>
      <c r="AA287" s="209"/>
      <c r="AB287" s="209"/>
      <c r="AC287" s="209"/>
      <c r="AD287" s="209"/>
      <c r="AE287" s="209"/>
      <c r="AF287" s="209"/>
      <c r="AG287" s="209"/>
      <c r="AH287" s="209"/>
      <c r="AI287" s="209"/>
      <c r="AJ287" s="209"/>
      <c r="AK287" s="209"/>
      <c r="AL287" s="209"/>
      <c r="AM287" s="209"/>
      <c r="AN287" s="209"/>
      <c r="AO287" s="209"/>
      <c r="AP287" s="209"/>
    </row>
    <row r="288" spans="1:42" ht="15.75" customHeight="1">
      <c r="A288" s="209"/>
      <c r="B288" s="209"/>
      <c r="C288" s="209"/>
      <c r="D288" s="209"/>
      <c r="E288" s="209"/>
      <c r="F288" s="209"/>
      <c r="G288" s="209"/>
      <c r="H288" s="296"/>
      <c r="I288" s="296"/>
      <c r="J288" s="296"/>
      <c r="K288" s="296"/>
      <c r="L288" s="296"/>
      <c r="M288" s="296"/>
      <c r="N288" s="209"/>
      <c r="O288" s="209"/>
      <c r="P288" s="209"/>
      <c r="Q288" s="209"/>
      <c r="R288" s="209"/>
      <c r="S288" s="209"/>
      <c r="T288" s="209"/>
      <c r="U288" s="209"/>
      <c r="V288" s="209"/>
      <c r="W288" s="209"/>
      <c r="X288" s="209"/>
      <c r="Y288" s="209"/>
      <c r="Z288" s="209"/>
      <c r="AA288" s="209"/>
      <c r="AB288" s="209"/>
      <c r="AC288" s="209"/>
      <c r="AD288" s="209"/>
      <c r="AE288" s="209"/>
      <c r="AF288" s="209"/>
      <c r="AG288" s="209"/>
      <c r="AH288" s="209"/>
      <c r="AI288" s="209"/>
      <c r="AJ288" s="209"/>
      <c r="AK288" s="209"/>
      <c r="AL288" s="209"/>
      <c r="AM288" s="209"/>
      <c r="AN288" s="209"/>
      <c r="AO288" s="209"/>
      <c r="AP288" s="209"/>
    </row>
    <row r="289" spans="1:42" ht="15.75" customHeight="1">
      <c r="A289" s="209"/>
      <c r="B289" s="209"/>
      <c r="C289" s="209"/>
      <c r="D289" s="209"/>
      <c r="E289" s="209"/>
      <c r="F289" s="209"/>
      <c r="G289" s="209"/>
      <c r="H289" s="296"/>
      <c r="I289" s="296"/>
      <c r="J289" s="296"/>
      <c r="K289" s="296"/>
      <c r="L289" s="296"/>
      <c r="M289" s="296"/>
      <c r="N289" s="209"/>
      <c r="O289" s="209"/>
      <c r="P289" s="209"/>
      <c r="Q289" s="209"/>
      <c r="R289" s="209"/>
      <c r="S289" s="209"/>
      <c r="T289" s="209"/>
      <c r="U289" s="209"/>
      <c r="V289" s="209"/>
      <c r="W289" s="209"/>
      <c r="X289" s="209"/>
      <c r="Y289" s="209"/>
      <c r="Z289" s="209"/>
      <c r="AA289" s="209"/>
      <c r="AB289" s="209"/>
      <c r="AC289" s="209"/>
      <c r="AD289" s="209"/>
      <c r="AE289" s="209"/>
      <c r="AF289" s="209"/>
      <c r="AG289" s="209"/>
      <c r="AH289" s="209"/>
      <c r="AI289" s="209"/>
      <c r="AJ289" s="209"/>
      <c r="AK289" s="209"/>
      <c r="AL289" s="209"/>
      <c r="AM289" s="209"/>
      <c r="AN289" s="209"/>
      <c r="AO289" s="209"/>
      <c r="AP289" s="209"/>
    </row>
    <row r="290" spans="1:42" ht="15.75" customHeight="1">
      <c r="A290" s="209"/>
      <c r="B290" s="209"/>
      <c r="C290" s="209"/>
      <c r="D290" s="209"/>
      <c r="E290" s="209"/>
      <c r="F290" s="209"/>
      <c r="G290" s="209"/>
      <c r="H290" s="296"/>
      <c r="I290" s="296"/>
      <c r="J290" s="296"/>
      <c r="K290" s="296"/>
      <c r="L290" s="296"/>
      <c r="M290" s="296"/>
      <c r="N290" s="209"/>
      <c r="O290" s="209"/>
      <c r="P290" s="209"/>
      <c r="Q290" s="209"/>
      <c r="R290" s="209"/>
      <c r="S290" s="209"/>
      <c r="T290" s="209"/>
      <c r="U290" s="209"/>
      <c r="V290" s="209"/>
      <c r="W290" s="209"/>
      <c r="X290" s="209"/>
      <c r="Y290" s="209"/>
      <c r="Z290" s="209"/>
      <c r="AA290" s="209"/>
      <c r="AB290" s="209"/>
      <c r="AC290" s="209"/>
      <c r="AD290" s="209"/>
      <c r="AE290" s="209"/>
      <c r="AF290" s="209"/>
      <c r="AG290" s="209"/>
      <c r="AH290" s="209"/>
      <c r="AI290" s="209"/>
      <c r="AJ290" s="209"/>
      <c r="AK290" s="209"/>
      <c r="AL290" s="209"/>
      <c r="AM290" s="209"/>
      <c r="AN290" s="209"/>
      <c r="AO290" s="209"/>
      <c r="AP290" s="209"/>
    </row>
    <row r="291" spans="1:42" ht="15.75" customHeight="1">
      <c r="A291" s="209"/>
      <c r="B291" s="209"/>
      <c r="C291" s="209"/>
      <c r="D291" s="209"/>
      <c r="E291" s="209"/>
      <c r="F291" s="209"/>
      <c r="G291" s="209"/>
      <c r="H291" s="296"/>
      <c r="I291" s="296"/>
      <c r="J291" s="296"/>
      <c r="K291" s="296"/>
      <c r="L291" s="296"/>
      <c r="M291" s="296"/>
      <c r="N291" s="209"/>
      <c r="O291" s="209"/>
      <c r="P291" s="209"/>
      <c r="Q291" s="209"/>
      <c r="R291" s="209"/>
      <c r="S291" s="209"/>
      <c r="T291" s="209"/>
      <c r="U291" s="209"/>
      <c r="V291" s="209"/>
      <c r="W291" s="209"/>
      <c r="X291" s="209"/>
      <c r="Y291" s="209"/>
      <c r="Z291" s="209"/>
      <c r="AA291" s="209"/>
      <c r="AB291" s="209"/>
      <c r="AC291" s="209"/>
      <c r="AD291" s="209"/>
      <c r="AE291" s="209"/>
      <c r="AF291" s="209"/>
      <c r="AG291" s="209"/>
      <c r="AH291" s="209"/>
      <c r="AI291" s="209"/>
      <c r="AJ291" s="209"/>
      <c r="AK291" s="209"/>
      <c r="AL291" s="209"/>
      <c r="AM291" s="209"/>
      <c r="AN291" s="209"/>
      <c r="AO291" s="209"/>
      <c r="AP291" s="209"/>
    </row>
    <row r="292" spans="1:42" ht="15.75" customHeight="1">
      <c r="A292" s="209"/>
      <c r="B292" s="209"/>
      <c r="C292" s="209"/>
      <c r="D292" s="209"/>
      <c r="E292" s="209"/>
      <c r="F292" s="209"/>
      <c r="G292" s="209"/>
      <c r="H292" s="296"/>
      <c r="I292" s="296"/>
      <c r="J292" s="296"/>
      <c r="K292" s="296"/>
      <c r="L292" s="296"/>
      <c r="M292" s="296"/>
      <c r="N292" s="209"/>
      <c r="O292" s="209"/>
      <c r="P292" s="209"/>
      <c r="Q292" s="209"/>
      <c r="R292" s="209"/>
      <c r="S292" s="209"/>
      <c r="T292" s="209"/>
      <c r="U292" s="209"/>
      <c r="V292" s="209"/>
      <c r="W292" s="209"/>
      <c r="X292" s="209"/>
      <c r="Y292" s="209"/>
      <c r="Z292" s="209"/>
      <c r="AA292" s="209"/>
      <c r="AB292" s="209"/>
      <c r="AC292" s="209"/>
      <c r="AD292" s="209"/>
      <c r="AE292" s="209"/>
      <c r="AF292" s="209"/>
      <c r="AG292" s="209"/>
      <c r="AH292" s="209"/>
      <c r="AI292" s="209"/>
      <c r="AJ292" s="209"/>
      <c r="AK292" s="209"/>
      <c r="AL292" s="209"/>
      <c r="AM292" s="209"/>
      <c r="AN292" s="209"/>
      <c r="AO292" s="209"/>
      <c r="AP292" s="209"/>
    </row>
    <row r="293" spans="1:42" ht="15.75" customHeight="1">
      <c r="A293" s="209"/>
      <c r="B293" s="209"/>
      <c r="C293" s="209"/>
      <c r="D293" s="209"/>
      <c r="E293" s="209"/>
      <c r="F293" s="209"/>
      <c r="G293" s="209"/>
      <c r="H293" s="296"/>
      <c r="I293" s="296"/>
      <c r="J293" s="296"/>
      <c r="K293" s="296"/>
      <c r="L293" s="296"/>
      <c r="M293" s="296"/>
      <c r="N293" s="209"/>
      <c r="O293" s="209"/>
      <c r="P293" s="209"/>
      <c r="Q293" s="209"/>
      <c r="R293" s="209"/>
      <c r="S293" s="209"/>
      <c r="T293" s="209"/>
      <c r="U293" s="209"/>
      <c r="V293" s="209"/>
      <c r="W293" s="209"/>
      <c r="X293" s="209"/>
      <c r="Y293" s="209"/>
      <c r="Z293" s="209"/>
      <c r="AA293" s="209"/>
      <c r="AB293" s="209"/>
      <c r="AC293" s="209"/>
      <c r="AD293" s="209"/>
      <c r="AE293" s="209"/>
      <c r="AF293" s="209"/>
      <c r="AG293" s="209"/>
      <c r="AH293" s="209"/>
      <c r="AI293" s="209"/>
      <c r="AJ293" s="209"/>
      <c r="AK293" s="209"/>
      <c r="AL293" s="209"/>
      <c r="AM293" s="209"/>
      <c r="AN293" s="209"/>
      <c r="AO293" s="209"/>
      <c r="AP293" s="209"/>
    </row>
    <row r="294" spans="1:42" ht="15.75" customHeight="1">
      <c r="A294" s="209"/>
      <c r="B294" s="209"/>
      <c r="C294" s="209"/>
      <c r="D294" s="209"/>
      <c r="E294" s="209"/>
      <c r="F294" s="209"/>
      <c r="G294" s="209"/>
      <c r="H294" s="296"/>
      <c r="I294" s="296"/>
      <c r="J294" s="296"/>
      <c r="K294" s="296"/>
      <c r="L294" s="296"/>
      <c r="M294" s="296"/>
      <c r="N294" s="209"/>
      <c r="O294" s="209"/>
      <c r="P294" s="209"/>
      <c r="Q294" s="209"/>
      <c r="R294" s="209"/>
      <c r="S294" s="209"/>
      <c r="T294" s="209"/>
      <c r="U294" s="209"/>
      <c r="V294" s="209"/>
      <c r="W294" s="209"/>
      <c r="X294" s="209"/>
      <c r="Y294" s="209"/>
      <c r="Z294" s="209"/>
      <c r="AA294" s="209"/>
      <c r="AB294" s="209"/>
      <c r="AC294" s="209"/>
      <c r="AD294" s="209"/>
      <c r="AE294" s="209"/>
      <c r="AF294" s="209"/>
      <c r="AG294" s="209"/>
      <c r="AH294" s="209"/>
      <c r="AI294" s="209"/>
      <c r="AJ294" s="209"/>
      <c r="AK294" s="209"/>
      <c r="AL294" s="209"/>
      <c r="AM294" s="209"/>
      <c r="AN294" s="209"/>
      <c r="AO294" s="209"/>
      <c r="AP294" s="209"/>
    </row>
    <row r="295" spans="1:42" ht="15.75" customHeight="1">
      <c r="A295" s="209"/>
      <c r="B295" s="209"/>
      <c r="C295" s="209"/>
      <c r="D295" s="209"/>
      <c r="E295" s="209"/>
      <c r="F295" s="209"/>
      <c r="G295" s="209"/>
      <c r="H295" s="296"/>
      <c r="I295" s="296"/>
      <c r="J295" s="296"/>
      <c r="K295" s="296"/>
      <c r="L295" s="296"/>
      <c r="M295" s="296"/>
      <c r="N295" s="209"/>
      <c r="O295" s="209"/>
      <c r="P295" s="209"/>
      <c r="Q295" s="209"/>
      <c r="R295" s="209"/>
      <c r="S295" s="209"/>
      <c r="T295" s="209"/>
      <c r="U295" s="209"/>
      <c r="V295" s="209"/>
      <c r="W295" s="209"/>
      <c r="X295" s="209"/>
      <c r="Y295" s="209"/>
      <c r="Z295" s="209"/>
      <c r="AA295" s="209"/>
      <c r="AB295" s="209"/>
      <c r="AC295" s="209"/>
      <c r="AD295" s="209"/>
      <c r="AE295" s="209"/>
      <c r="AF295" s="209"/>
      <c r="AG295" s="209"/>
      <c r="AH295" s="209"/>
      <c r="AI295" s="209"/>
      <c r="AJ295" s="209"/>
      <c r="AK295" s="209"/>
      <c r="AL295" s="209"/>
      <c r="AM295" s="209"/>
      <c r="AN295" s="209"/>
      <c r="AO295" s="209"/>
      <c r="AP295" s="209"/>
    </row>
    <row r="296" spans="1:42" ht="15.75" customHeight="1">
      <c r="A296" s="209"/>
      <c r="B296" s="209"/>
      <c r="C296" s="209"/>
      <c r="D296" s="209"/>
      <c r="E296" s="209"/>
      <c r="F296" s="209"/>
      <c r="G296" s="209"/>
      <c r="H296" s="296"/>
      <c r="I296" s="296"/>
      <c r="J296" s="296"/>
      <c r="K296" s="296"/>
      <c r="L296" s="296"/>
      <c r="M296" s="296"/>
      <c r="N296" s="209"/>
      <c r="O296" s="209"/>
      <c r="P296" s="209"/>
      <c r="Q296" s="209"/>
      <c r="R296" s="209"/>
      <c r="S296" s="209"/>
      <c r="T296" s="209"/>
      <c r="U296" s="209"/>
      <c r="V296" s="209"/>
      <c r="W296" s="209"/>
      <c r="X296" s="209"/>
      <c r="Y296" s="209"/>
      <c r="Z296" s="209"/>
      <c r="AA296" s="209"/>
      <c r="AB296" s="209"/>
      <c r="AC296" s="209"/>
      <c r="AD296" s="209"/>
      <c r="AE296" s="209"/>
      <c r="AF296" s="209"/>
      <c r="AG296" s="209"/>
      <c r="AH296" s="209"/>
      <c r="AI296" s="209"/>
      <c r="AJ296" s="209"/>
      <c r="AK296" s="209"/>
      <c r="AL296" s="209"/>
      <c r="AM296" s="209"/>
      <c r="AN296" s="209"/>
      <c r="AO296" s="209"/>
      <c r="AP296" s="209"/>
    </row>
    <row r="297" spans="1:42" ht="15.75" customHeight="1">
      <c r="A297" s="209"/>
      <c r="B297" s="209"/>
      <c r="C297" s="209"/>
      <c r="D297" s="209"/>
      <c r="E297" s="209"/>
      <c r="F297" s="209"/>
      <c r="G297" s="209"/>
      <c r="H297" s="296"/>
      <c r="I297" s="296"/>
      <c r="J297" s="296"/>
      <c r="K297" s="296"/>
      <c r="L297" s="296"/>
      <c r="M297" s="296"/>
      <c r="N297" s="209"/>
      <c r="O297" s="209"/>
      <c r="P297" s="209"/>
      <c r="Q297" s="209"/>
      <c r="R297" s="209"/>
      <c r="S297" s="209"/>
      <c r="T297" s="209"/>
      <c r="U297" s="209"/>
      <c r="V297" s="209"/>
      <c r="W297" s="209"/>
      <c r="X297" s="209"/>
      <c r="Y297" s="209"/>
      <c r="Z297" s="209"/>
      <c r="AA297" s="209"/>
      <c r="AB297" s="209"/>
      <c r="AC297" s="209"/>
      <c r="AD297" s="209"/>
      <c r="AE297" s="209"/>
      <c r="AF297" s="209"/>
      <c r="AG297" s="209"/>
      <c r="AH297" s="209"/>
      <c r="AI297" s="209"/>
      <c r="AJ297" s="209"/>
      <c r="AK297" s="209"/>
      <c r="AL297" s="209"/>
      <c r="AM297" s="209"/>
      <c r="AN297" s="209"/>
      <c r="AO297" s="209"/>
      <c r="AP297" s="209"/>
    </row>
    <row r="298" spans="1:42" ht="15.75" customHeight="1">
      <c r="A298" s="209"/>
      <c r="B298" s="209"/>
      <c r="C298" s="209"/>
      <c r="D298" s="209"/>
      <c r="E298" s="209"/>
      <c r="F298" s="209"/>
      <c r="G298" s="209"/>
      <c r="H298" s="296"/>
      <c r="I298" s="296"/>
      <c r="J298" s="296"/>
      <c r="K298" s="296"/>
      <c r="L298" s="296"/>
      <c r="M298" s="296"/>
      <c r="N298" s="209"/>
      <c r="O298" s="209"/>
      <c r="P298" s="209"/>
      <c r="Q298" s="209"/>
      <c r="R298" s="209"/>
      <c r="S298" s="209"/>
      <c r="T298" s="209"/>
      <c r="U298" s="209"/>
      <c r="V298" s="209"/>
      <c r="W298" s="209"/>
      <c r="X298" s="209"/>
      <c r="Y298" s="209"/>
      <c r="Z298" s="209"/>
      <c r="AA298" s="209"/>
      <c r="AB298" s="209"/>
      <c r="AC298" s="209"/>
      <c r="AD298" s="209"/>
      <c r="AE298" s="209"/>
      <c r="AF298" s="209"/>
      <c r="AG298" s="209"/>
      <c r="AH298" s="209"/>
      <c r="AI298" s="209"/>
      <c r="AJ298" s="209"/>
      <c r="AK298" s="209"/>
      <c r="AL298" s="209"/>
      <c r="AM298" s="209"/>
      <c r="AN298" s="209"/>
      <c r="AO298" s="209"/>
      <c r="AP298" s="209"/>
    </row>
    <row r="299" spans="1:42" ht="15.75" customHeight="1">
      <c r="A299" s="209"/>
      <c r="B299" s="209"/>
      <c r="C299" s="209"/>
      <c r="D299" s="209"/>
      <c r="E299" s="209"/>
      <c r="F299" s="209"/>
      <c r="G299" s="209"/>
      <c r="H299" s="296"/>
      <c r="I299" s="296"/>
      <c r="J299" s="296"/>
      <c r="K299" s="296"/>
      <c r="L299" s="296"/>
      <c r="M299" s="296"/>
      <c r="N299" s="209"/>
      <c r="O299" s="209"/>
      <c r="P299" s="209"/>
      <c r="Q299" s="209"/>
      <c r="R299" s="209"/>
      <c r="S299" s="209"/>
      <c r="T299" s="209"/>
      <c r="U299" s="209"/>
      <c r="V299" s="209"/>
      <c r="W299" s="209"/>
      <c r="X299" s="209"/>
      <c r="Y299" s="209"/>
      <c r="Z299" s="209"/>
      <c r="AA299" s="209"/>
      <c r="AB299" s="209"/>
      <c r="AC299" s="209"/>
      <c r="AD299" s="209"/>
      <c r="AE299" s="209"/>
      <c r="AF299" s="209"/>
      <c r="AG299" s="209"/>
      <c r="AH299" s="209"/>
      <c r="AI299" s="209"/>
      <c r="AJ299" s="209"/>
      <c r="AK299" s="209"/>
      <c r="AL299" s="209"/>
      <c r="AM299" s="209"/>
      <c r="AN299" s="209"/>
      <c r="AO299" s="209"/>
      <c r="AP299" s="209"/>
    </row>
    <row r="300" spans="1:42" ht="15.75" customHeight="1">
      <c r="A300" s="209"/>
      <c r="B300" s="209"/>
      <c r="C300" s="209"/>
      <c r="D300" s="209"/>
      <c r="E300" s="209"/>
      <c r="F300" s="209"/>
      <c r="G300" s="209"/>
      <c r="H300" s="296"/>
      <c r="I300" s="296"/>
      <c r="J300" s="296"/>
      <c r="K300" s="296"/>
      <c r="L300" s="296"/>
      <c r="M300" s="296"/>
      <c r="N300" s="209"/>
      <c r="O300" s="209"/>
      <c r="P300" s="209"/>
      <c r="Q300" s="209"/>
      <c r="R300" s="209"/>
      <c r="S300" s="209"/>
      <c r="T300" s="209"/>
      <c r="U300" s="209"/>
      <c r="V300" s="209"/>
      <c r="W300" s="209"/>
      <c r="X300" s="209"/>
      <c r="Y300" s="209"/>
      <c r="Z300" s="209"/>
      <c r="AA300" s="209"/>
      <c r="AB300" s="209"/>
      <c r="AC300" s="209"/>
      <c r="AD300" s="209"/>
      <c r="AE300" s="209"/>
      <c r="AF300" s="209"/>
      <c r="AG300" s="209"/>
      <c r="AH300" s="209"/>
      <c r="AI300" s="209"/>
      <c r="AJ300" s="209"/>
      <c r="AK300" s="209"/>
      <c r="AL300" s="209"/>
      <c r="AM300" s="209"/>
      <c r="AN300" s="209"/>
      <c r="AO300" s="209"/>
      <c r="AP300" s="209"/>
    </row>
    <row r="301" spans="1:42" ht="15.75" customHeight="1">
      <c r="A301" s="209"/>
      <c r="B301" s="209"/>
      <c r="C301" s="209"/>
      <c r="D301" s="209"/>
      <c r="E301" s="209"/>
      <c r="F301" s="209"/>
      <c r="G301" s="209"/>
      <c r="H301" s="296"/>
      <c r="I301" s="296"/>
      <c r="J301" s="296"/>
      <c r="K301" s="296"/>
      <c r="L301" s="296"/>
      <c r="M301" s="296"/>
      <c r="N301" s="209"/>
      <c r="O301" s="209"/>
      <c r="P301" s="209"/>
      <c r="Q301" s="209"/>
      <c r="R301" s="209"/>
      <c r="S301" s="209"/>
      <c r="T301" s="209"/>
      <c r="U301" s="209"/>
      <c r="V301" s="209"/>
      <c r="W301" s="209"/>
      <c r="X301" s="209"/>
      <c r="Y301" s="209"/>
      <c r="Z301" s="209"/>
      <c r="AA301" s="209"/>
      <c r="AB301" s="209"/>
      <c r="AC301" s="209"/>
      <c r="AD301" s="209"/>
      <c r="AE301" s="209"/>
      <c r="AF301" s="209"/>
      <c r="AG301" s="209"/>
      <c r="AH301" s="209"/>
      <c r="AI301" s="209"/>
      <c r="AJ301" s="209"/>
      <c r="AK301" s="209"/>
      <c r="AL301" s="209"/>
      <c r="AM301" s="209"/>
      <c r="AN301" s="209"/>
      <c r="AO301" s="209"/>
      <c r="AP301" s="209"/>
    </row>
    <row r="302" spans="1:42" ht="15.75" customHeight="1">
      <c r="A302" s="209"/>
      <c r="B302" s="209"/>
      <c r="C302" s="209"/>
      <c r="D302" s="209"/>
      <c r="E302" s="209"/>
      <c r="F302" s="209"/>
      <c r="G302" s="209"/>
      <c r="H302" s="296"/>
      <c r="I302" s="296"/>
      <c r="J302" s="296"/>
      <c r="K302" s="296"/>
      <c r="L302" s="296"/>
      <c r="M302" s="296"/>
      <c r="N302" s="209"/>
      <c r="O302" s="209"/>
      <c r="P302" s="209"/>
      <c r="Q302" s="209"/>
      <c r="R302" s="209"/>
      <c r="S302" s="209"/>
      <c r="T302" s="209"/>
      <c r="U302" s="209"/>
      <c r="V302" s="209"/>
      <c r="W302" s="209"/>
      <c r="X302" s="209"/>
      <c r="Y302" s="209"/>
      <c r="Z302" s="209"/>
      <c r="AA302" s="209"/>
      <c r="AB302" s="209"/>
      <c r="AC302" s="209"/>
      <c r="AD302" s="209"/>
      <c r="AE302" s="209"/>
      <c r="AF302" s="209"/>
      <c r="AG302" s="209"/>
      <c r="AH302" s="209"/>
      <c r="AI302" s="209"/>
      <c r="AJ302" s="209"/>
      <c r="AK302" s="209"/>
      <c r="AL302" s="209"/>
      <c r="AM302" s="209"/>
      <c r="AN302" s="209"/>
      <c r="AO302" s="209"/>
      <c r="AP302" s="209"/>
    </row>
    <row r="303" spans="1:42" ht="15.75" customHeight="1">
      <c r="A303" s="209"/>
      <c r="B303" s="209"/>
      <c r="C303" s="209"/>
      <c r="D303" s="209"/>
      <c r="E303" s="209"/>
      <c r="F303" s="209"/>
      <c r="G303" s="209"/>
      <c r="H303" s="296"/>
      <c r="I303" s="296"/>
      <c r="J303" s="296"/>
      <c r="K303" s="296"/>
      <c r="L303" s="296"/>
      <c r="M303" s="296"/>
      <c r="N303" s="209"/>
      <c r="O303" s="209"/>
      <c r="P303" s="209"/>
      <c r="Q303" s="209"/>
      <c r="R303" s="209"/>
      <c r="S303" s="209"/>
      <c r="T303" s="209"/>
      <c r="U303" s="209"/>
      <c r="V303" s="209"/>
      <c r="W303" s="209"/>
      <c r="X303" s="209"/>
      <c r="Y303" s="209"/>
      <c r="Z303" s="209"/>
      <c r="AA303" s="209"/>
      <c r="AB303" s="209"/>
      <c r="AC303" s="209"/>
      <c r="AD303" s="209"/>
      <c r="AE303" s="209"/>
      <c r="AF303" s="209"/>
      <c r="AG303" s="209"/>
      <c r="AH303" s="209"/>
      <c r="AI303" s="209"/>
      <c r="AJ303" s="209"/>
      <c r="AK303" s="209"/>
      <c r="AL303" s="209"/>
      <c r="AM303" s="209"/>
      <c r="AN303" s="209"/>
      <c r="AO303" s="209"/>
      <c r="AP303" s="209"/>
    </row>
    <row r="304" spans="1:42" ht="15.75" customHeight="1">
      <c r="A304" s="209"/>
      <c r="B304" s="209"/>
      <c r="C304" s="209"/>
      <c r="D304" s="209"/>
      <c r="E304" s="209"/>
      <c r="F304" s="209"/>
      <c r="G304" s="209"/>
      <c r="H304" s="296"/>
      <c r="I304" s="296"/>
      <c r="J304" s="296"/>
      <c r="K304" s="296"/>
      <c r="L304" s="296"/>
      <c r="M304" s="296"/>
      <c r="N304" s="209"/>
      <c r="O304" s="209"/>
      <c r="P304" s="209"/>
      <c r="Q304" s="209"/>
      <c r="R304" s="209"/>
      <c r="S304" s="209"/>
      <c r="T304" s="209"/>
      <c r="U304" s="209"/>
      <c r="V304" s="209"/>
      <c r="W304" s="209"/>
      <c r="X304" s="209"/>
      <c r="Y304" s="209"/>
      <c r="Z304" s="209"/>
      <c r="AA304" s="209"/>
      <c r="AB304" s="209"/>
      <c r="AC304" s="209"/>
      <c r="AD304" s="209"/>
      <c r="AE304" s="209"/>
      <c r="AF304" s="209"/>
      <c r="AG304" s="209"/>
      <c r="AH304" s="209"/>
      <c r="AI304" s="209"/>
      <c r="AJ304" s="209"/>
      <c r="AK304" s="209"/>
      <c r="AL304" s="209"/>
      <c r="AM304" s="209"/>
      <c r="AN304" s="209"/>
      <c r="AO304" s="209"/>
      <c r="AP304" s="209"/>
    </row>
    <row r="305" spans="1:42" ht="15.75" customHeight="1">
      <c r="A305" s="209"/>
      <c r="B305" s="209"/>
      <c r="C305" s="209"/>
      <c r="D305" s="209"/>
      <c r="E305" s="209"/>
      <c r="F305" s="209"/>
      <c r="G305" s="209"/>
      <c r="H305" s="296"/>
      <c r="I305" s="296"/>
      <c r="J305" s="296"/>
      <c r="K305" s="296"/>
      <c r="L305" s="296"/>
      <c r="M305" s="296"/>
      <c r="N305" s="209"/>
      <c r="O305" s="209"/>
      <c r="P305" s="209"/>
      <c r="Q305" s="209"/>
      <c r="R305" s="209"/>
      <c r="S305" s="209"/>
      <c r="T305" s="209"/>
      <c r="U305" s="209"/>
      <c r="V305" s="209"/>
      <c r="W305" s="209"/>
      <c r="X305" s="209"/>
      <c r="Y305" s="209"/>
      <c r="Z305" s="209"/>
      <c r="AA305" s="209"/>
      <c r="AB305" s="209"/>
      <c r="AC305" s="209"/>
      <c r="AD305" s="209"/>
      <c r="AE305" s="209"/>
      <c r="AF305" s="209"/>
      <c r="AG305" s="209"/>
      <c r="AH305" s="209"/>
      <c r="AI305" s="209"/>
      <c r="AJ305" s="209"/>
      <c r="AK305" s="209"/>
      <c r="AL305" s="209"/>
      <c r="AM305" s="209"/>
      <c r="AN305" s="209"/>
      <c r="AO305" s="209"/>
      <c r="AP305" s="209"/>
    </row>
    <row r="306" spans="1:42" ht="15.75" customHeight="1">
      <c r="A306" s="209"/>
      <c r="B306" s="209"/>
      <c r="C306" s="209"/>
      <c r="D306" s="209"/>
      <c r="E306" s="209"/>
      <c r="F306" s="209"/>
      <c r="G306" s="209"/>
      <c r="H306" s="296"/>
      <c r="I306" s="296"/>
      <c r="J306" s="296"/>
      <c r="K306" s="296"/>
      <c r="L306" s="296"/>
      <c r="M306" s="296"/>
      <c r="N306" s="209"/>
      <c r="O306" s="209"/>
      <c r="P306" s="209"/>
      <c r="Q306" s="209"/>
      <c r="R306" s="209"/>
      <c r="S306" s="209"/>
      <c r="T306" s="209"/>
      <c r="U306" s="209"/>
      <c r="V306" s="209"/>
      <c r="W306" s="209"/>
      <c r="X306" s="209"/>
      <c r="Y306" s="209"/>
      <c r="Z306" s="209"/>
      <c r="AA306" s="209"/>
      <c r="AB306" s="209"/>
      <c r="AC306" s="209"/>
      <c r="AD306" s="209"/>
      <c r="AE306" s="209"/>
      <c r="AF306" s="209"/>
      <c r="AG306" s="209"/>
      <c r="AH306" s="209"/>
      <c r="AI306" s="209"/>
      <c r="AJ306" s="209"/>
      <c r="AK306" s="209"/>
      <c r="AL306" s="209"/>
      <c r="AM306" s="209"/>
      <c r="AN306" s="209"/>
      <c r="AO306" s="209"/>
      <c r="AP306" s="209"/>
    </row>
    <row r="307" spans="1:42" ht="15.75" customHeight="1">
      <c r="A307" s="209"/>
      <c r="B307" s="209"/>
      <c r="C307" s="209"/>
      <c r="D307" s="209"/>
      <c r="E307" s="209"/>
      <c r="F307" s="209"/>
      <c r="G307" s="209"/>
      <c r="H307" s="296"/>
      <c r="I307" s="296"/>
      <c r="J307" s="296"/>
      <c r="K307" s="296"/>
      <c r="L307" s="296"/>
      <c r="M307" s="296"/>
      <c r="N307" s="209"/>
      <c r="O307" s="209"/>
      <c r="P307" s="209"/>
      <c r="Q307" s="209"/>
      <c r="R307" s="209"/>
      <c r="S307" s="209"/>
      <c r="T307" s="209"/>
      <c r="U307" s="209"/>
      <c r="V307" s="209"/>
      <c r="W307" s="209"/>
      <c r="X307" s="209"/>
      <c r="Y307" s="209"/>
      <c r="Z307" s="209"/>
      <c r="AA307" s="209"/>
      <c r="AB307" s="209"/>
      <c r="AC307" s="209"/>
      <c r="AD307" s="209"/>
      <c r="AE307" s="209"/>
      <c r="AF307" s="209"/>
      <c r="AG307" s="209"/>
      <c r="AH307" s="209"/>
      <c r="AI307" s="209"/>
      <c r="AJ307" s="209"/>
      <c r="AK307" s="209"/>
      <c r="AL307" s="209"/>
      <c r="AM307" s="209"/>
      <c r="AN307" s="209"/>
      <c r="AO307" s="209"/>
      <c r="AP307" s="209"/>
    </row>
    <row r="308" spans="1:42" ht="15.75" customHeight="1">
      <c r="A308" s="209"/>
      <c r="B308" s="209"/>
      <c r="C308" s="209"/>
      <c r="D308" s="209"/>
      <c r="E308" s="209"/>
      <c r="F308" s="209"/>
      <c r="G308" s="209"/>
      <c r="H308" s="296"/>
      <c r="I308" s="296"/>
      <c r="J308" s="296"/>
      <c r="K308" s="296"/>
      <c r="L308" s="296"/>
      <c r="M308" s="296"/>
      <c r="N308" s="209"/>
      <c r="O308" s="209"/>
      <c r="P308" s="209"/>
      <c r="Q308" s="209"/>
      <c r="R308" s="209"/>
      <c r="S308" s="209"/>
      <c r="T308" s="209"/>
      <c r="U308" s="209"/>
      <c r="V308" s="209"/>
      <c r="W308" s="209"/>
      <c r="X308" s="209"/>
      <c r="Y308" s="209"/>
      <c r="Z308" s="209"/>
      <c r="AA308" s="209"/>
      <c r="AB308" s="209"/>
      <c r="AC308" s="209"/>
      <c r="AD308" s="209"/>
      <c r="AE308" s="209"/>
      <c r="AF308" s="209"/>
      <c r="AG308" s="209"/>
      <c r="AH308" s="209"/>
      <c r="AI308" s="209"/>
      <c r="AJ308" s="209"/>
      <c r="AK308" s="209"/>
      <c r="AL308" s="209"/>
      <c r="AM308" s="209"/>
      <c r="AN308" s="209"/>
      <c r="AO308" s="209"/>
      <c r="AP308" s="209"/>
    </row>
    <row r="309" spans="1:42" ht="15.75" customHeight="1">
      <c r="A309" s="209"/>
      <c r="B309" s="209"/>
      <c r="C309" s="209"/>
      <c r="D309" s="209"/>
      <c r="E309" s="209"/>
      <c r="F309" s="209"/>
      <c r="G309" s="209"/>
      <c r="H309" s="296"/>
      <c r="I309" s="296"/>
      <c r="J309" s="296"/>
      <c r="K309" s="296"/>
      <c r="L309" s="296"/>
      <c r="M309" s="296"/>
      <c r="N309" s="209"/>
      <c r="O309" s="209"/>
      <c r="P309" s="209"/>
      <c r="Q309" s="209"/>
      <c r="R309" s="209"/>
      <c r="S309" s="209"/>
      <c r="T309" s="209"/>
      <c r="U309" s="209"/>
      <c r="V309" s="209"/>
      <c r="W309" s="209"/>
      <c r="X309" s="209"/>
      <c r="Y309" s="209"/>
      <c r="Z309" s="209"/>
      <c r="AA309" s="209"/>
      <c r="AB309" s="209"/>
      <c r="AC309" s="209"/>
      <c r="AD309" s="209"/>
      <c r="AE309" s="209"/>
      <c r="AF309" s="209"/>
      <c r="AG309" s="209"/>
      <c r="AH309" s="209"/>
      <c r="AI309" s="209"/>
      <c r="AJ309" s="209"/>
      <c r="AK309" s="209"/>
      <c r="AL309" s="209"/>
      <c r="AM309" s="209"/>
      <c r="AN309" s="209"/>
      <c r="AO309" s="209"/>
      <c r="AP309" s="209"/>
    </row>
    <row r="310" spans="1:42" ht="15.75" customHeight="1">
      <c r="A310" s="209"/>
      <c r="B310" s="209"/>
      <c r="C310" s="209"/>
      <c r="D310" s="209"/>
      <c r="E310" s="209"/>
      <c r="F310" s="209"/>
      <c r="G310" s="209"/>
      <c r="H310" s="296"/>
      <c r="I310" s="296"/>
      <c r="J310" s="296"/>
      <c r="K310" s="296"/>
      <c r="L310" s="296"/>
      <c r="M310" s="296"/>
      <c r="N310" s="209"/>
      <c r="O310" s="209"/>
      <c r="P310" s="209"/>
      <c r="Q310" s="209"/>
      <c r="R310" s="209"/>
      <c r="S310" s="209"/>
      <c r="T310" s="209"/>
      <c r="U310" s="209"/>
      <c r="V310" s="209"/>
      <c r="W310" s="209"/>
      <c r="X310" s="209"/>
      <c r="Y310" s="209"/>
      <c r="Z310" s="209"/>
      <c r="AA310" s="209"/>
      <c r="AB310" s="209"/>
      <c r="AC310" s="209"/>
      <c r="AD310" s="209"/>
      <c r="AE310" s="209"/>
      <c r="AF310" s="209"/>
      <c r="AG310" s="209"/>
      <c r="AH310" s="209"/>
      <c r="AI310" s="209"/>
      <c r="AJ310" s="209"/>
      <c r="AK310" s="209"/>
      <c r="AL310" s="209"/>
      <c r="AM310" s="209"/>
      <c r="AN310" s="209"/>
      <c r="AO310" s="209"/>
      <c r="AP310" s="209"/>
    </row>
    <row r="311" spans="1:42" ht="15.75" customHeight="1">
      <c r="A311" s="209"/>
      <c r="B311" s="209"/>
      <c r="C311" s="209"/>
      <c r="D311" s="209"/>
      <c r="E311" s="209"/>
      <c r="F311" s="209"/>
      <c r="G311" s="209"/>
      <c r="H311" s="296"/>
      <c r="I311" s="296"/>
      <c r="J311" s="296"/>
      <c r="K311" s="296"/>
      <c r="L311" s="296"/>
      <c r="M311" s="296"/>
      <c r="N311" s="209"/>
      <c r="O311" s="209"/>
      <c r="P311" s="209"/>
      <c r="Q311" s="209"/>
      <c r="R311" s="209"/>
      <c r="S311" s="209"/>
      <c r="T311" s="209"/>
      <c r="U311" s="209"/>
      <c r="V311" s="209"/>
      <c r="W311" s="209"/>
      <c r="X311" s="209"/>
      <c r="Y311" s="209"/>
      <c r="Z311" s="209"/>
      <c r="AA311" s="209"/>
      <c r="AB311" s="209"/>
      <c r="AC311" s="209"/>
      <c r="AD311" s="209"/>
      <c r="AE311" s="209"/>
      <c r="AF311" s="209"/>
      <c r="AG311" s="209"/>
      <c r="AH311" s="209"/>
      <c r="AI311" s="209"/>
      <c r="AJ311" s="209"/>
      <c r="AK311" s="209"/>
      <c r="AL311" s="209"/>
      <c r="AM311" s="209"/>
      <c r="AN311" s="209"/>
      <c r="AO311" s="209"/>
      <c r="AP311" s="209"/>
    </row>
    <row r="312" spans="1:42" ht="15.75" customHeight="1">
      <c r="A312" s="209"/>
      <c r="B312" s="209"/>
      <c r="C312" s="209"/>
      <c r="D312" s="209"/>
      <c r="E312" s="209"/>
      <c r="F312" s="209"/>
      <c r="G312" s="209"/>
      <c r="H312" s="296"/>
      <c r="I312" s="296"/>
      <c r="J312" s="296"/>
      <c r="K312" s="296"/>
      <c r="L312" s="296"/>
      <c r="M312" s="296"/>
      <c r="N312" s="209"/>
      <c r="O312" s="209"/>
      <c r="P312" s="209"/>
      <c r="Q312" s="209"/>
      <c r="R312" s="209"/>
      <c r="S312" s="209"/>
      <c r="T312" s="209"/>
      <c r="U312" s="209"/>
      <c r="V312" s="209"/>
      <c r="W312" s="209"/>
      <c r="X312" s="209"/>
      <c r="Y312" s="209"/>
      <c r="Z312" s="209"/>
      <c r="AA312" s="209"/>
      <c r="AB312" s="209"/>
      <c r="AC312" s="209"/>
      <c r="AD312" s="209"/>
      <c r="AE312" s="209"/>
      <c r="AF312" s="209"/>
      <c r="AG312" s="209"/>
      <c r="AH312" s="209"/>
      <c r="AI312" s="209"/>
      <c r="AJ312" s="209"/>
      <c r="AK312" s="209"/>
      <c r="AL312" s="209"/>
      <c r="AM312" s="209"/>
      <c r="AN312" s="209"/>
      <c r="AO312" s="209"/>
      <c r="AP312" s="209"/>
    </row>
    <row r="313" spans="1:42" ht="15.75" customHeight="1">
      <c r="A313" s="209"/>
      <c r="B313" s="209"/>
      <c r="C313" s="209"/>
      <c r="D313" s="209"/>
      <c r="E313" s="209"/>
      <c r="F313" s="209"/>
      <c r="G313" s="209"/>
      <c r="H313" s="296"/>
      <c r="I313" s="296"/>
      <c r="J313" s="296"/>
      <c r="K313" s="296"/>
      <c r="L313" s="296"/>
      <c r="M313" s="296"/>
      <c r="N313" s="209"/>
      <c r="O313" s="209"/>
      <c r="P313" s="209"/>
      <c r="Q313" s="209"/>
      <c r="R313" s="209"/>
      <c r="S313" s="209"/>
      <c r="T313" s="209"/>
      <c r="U313" s="209"/>
      <c r="V313" s="209"/>
      <c r="W313" s="209"/>
      <c r="X313" s="209"/>
      <c r="Y313" s="209"/>
      <c r="Z313" s="209"/>
      <c r="AA313" s="209"/>
      <c r="AB313" s="209"/>
      <c r="AC313" s="209"/>
      <c r="AD313" s="209"/>
      <c r="AE313" s="209"/>
      <c r="AF313" s="209"/>
      <c r="AG313" s="209"/>
      <c r="AH313" s="209"/>
      <c r="AI313" s="209"/>
      <c r="AJ313" s="209"/>
      <c r="AK313" s="209"/>
      <c r="AL313" s="209"/>
      <c r="AM313" s="209"/>
      <c r="AN313" s="209"/>
      <c r="AO313" s="209"/>
      <c r="AP313" s="209"/>
    </row>
    <row r="314" spans="1:42" ht="15.75" customHeight="1">
      <c r="A314" s="209"/>
      <c r="B314" s="209"/>
      <c r="C314" s="209"/>
      <c r="D314" s="209"/>
      <c r="E314" s="209"/>
      <c r="F314" s="209"/>
      <c r="G314" s="209"/>
      <c r="H314" s="296"/>
      <c r="I314" s="296"/>
      <c r="J314" s="296"/>
      <c r="K314" s="296"/>
      <c r="L314" s="296"/>
      <c r="M314" s="296"/>
      <c r="N314" s="209"/>
      <c r="O314" s="209"/>
      <c r="P314" s="209"/>
      <c r="Q314" s="209"/>
      <c r="R314" s="209"/>
      <c r="S314" s="209"/>
      <c r="T314" s="209"/>
      <c r="U314" s="209"/>
      <c r="V314" s="209"/>
      <c r="W314" s="209"/>
      <c r="X314" s="209"/>
      <c r="Y314" s="209"/>
      <c r="Z314" s="209"/>
      <c r="AA314" s="209"/>
      <c r="AB314" s="209"/>
      <c r="AC314" s="209"/>
      <c r="AD314" s="209"/>
      <c r="AE314" s="209"/>
      <c r="AF314" s="209"/>
      <c r="AG314" s="209"/>
      <c r="AH314" s="209"/>
      <c r="AI314" s="209"/>
      <c r="AJ314" s="209"/>
      <c r="AK314" s="209"/>
      <c r="AL314" s="209"/>
      <c r="AM314" s="209"/>
      <c r="AN314" s="209"/>
      <c r="AO314" s="209"/>
      <c r="AP314" s="209"/>
    </row>
    <row r="315" spans="1:42" ht="15.75" customHeight="1">
      <c r="A315" s="209"/>
      <c r="B315" s="209"/>
      <c r="C315" s="209"/>
      <c r="D315" s="209"/>
      <c r="E315" s="209"/>
      <c r="F315" s="209"/>
      <c r="G315" s="209"/>
      <c r="H315" s="296"/>
      <c r="I315" s="296"/>
      <c r="J315" s="296"/>
      <c r="K315" s="296"/>
      <c r="L315" s="296"/>
      <c r="M315" s="296"/>
      <c r="N315" s="209"/>
      <c r="O315" s="209"/>
      <c r="P315" s="209"/>
      <c r="Q315" s="209"/>
      <c r="R315" s="209"/>
      <c r="S315" s="209"/>
      <c r="T315" s="209"/>
      <c r="U315" s="209"/>
      <c r="V315" s="209"/>
      <c r="W315" s="209"/>
      <c r="X315" s="209"/>
      <c r="Y315" s="209"/>
      <c r="Z315" s="209"/>
      <c r="AA315" s="209"/>
      <c r="AB315" s="209"/>
      <c r="AC315" s="209"/>
      <c r="AD315" s="209"/>
      <c r="AE315" s="209"/>
      <c r="AF315" s="209"/>
      <c r="AG315" s="209"/>
      <c r="AH315" s="209"/>
      <c r="AI315" s="209"/>
      <c r="AJ315" s="209"/>
      <c r="AK315" s="209"/>
      <c r="AL315" s="209"/>
      <c r="AM315" s="209"/>
      <c r="AN315" s="209"/>
      <c r="AO315" s="209"/>
      <c r="AP315" s="209"/>
    </row>
    <row r="316" spans="1:42" ht="15.75" customHeight="1">
      <c r="A316" s="209"/>
      <c r="B316" s="209"/>
      <c r="C316" s="209"/>
      <c r="D316" s="209"/>
      <c r="E316" s="209"/>
      <c r="F316" s="209"/>
      <c r="G316" s="209"/>
      <c r="H316" s="296"/>
      <c r="I316" s="296"/>
      <c r="J316" s="296"/>
      <c r="K316" s="296"/>
      <c r="L316" s="296"/>
      <c r="M316" s="296"/>
      <c r="N316" s="209"/>
      <c r="O316" s="209"/>
      <c r="P316" s="209"/>
      <c r="Q316" s="209"/>
      <c r="R316" s="209"/>
      <c r="S316" s="209"/>
      <c r="T316" s="209"/>
      <c r="U316" s="209"/>
      <c r="V316" s="209"/>
      <c r="W316" s="209"/>
      <c r="X316" s="209"/>
      <c r="Y316" s="209"/>
      <c r="Z316" s="209"/>
      <c r="AA316" s="209"/>
      <c r="AB316" s="209"/>
      <c r="AC316" s="209"/>
      <c r="AD316" s="209"/>
      <c r="AE316" s="209"/>
      <c r="AF316" s="209"/>
      <c r="AG316" s="209"/>
      <c r="AH316" s="209"/>
      <c r="AI316" s="209"/>
      <c r="AJ316" s="209"/>
      <c r="AK316" s="209"/>
      <c r="AL316" s="209"/>
      <c r="AM316" s="209"/>
      <c r="AN316" s="209"/>
      <c r="AO316" s="209"/>
      <c r="AP316" s="209"/>
    </row>
    <row r="317" spans="1:42" ht="15.75" customHeight="1">
      <c r="A317" s="209"/>
      <c r="B317" s="209"/>
      <c r="C317" s="209"/>
      <c r="D317" s="209"/>
      <c r="E317" s="209"/>
      <c r="F317" s="209"/>
      <c r="G317" s="209"/>
      <c r="H317" s="296"/>
      <c r="I317" s="296"/>
      <c r="J317" s="296"/>
      <c r="K317" s="296"/>
      <c r="L317" s="296"/>
      <c r="M317" s="296"/>
      <c r="N317" s="209"/>
      <c r="O317" s="209"/>
      <c r="P317" s="209"/>
      <c r="Q317" s="209"/>
      <c r="R317" s="209"/>
      <c r="S317" s="209"/>
      <c r="T317" s="209"/>
      <c r="U317" s="209"/>
      <c r="V317" s="209"/>
      <c r="W317" s="209"/>
      <c r="X317" s="209"/>
      <c r="Y317" s="209"/>
      <c r="Z317" s="209"/>
      <c r="AA317" s="209"/>
      <c r="AB317" s="209"/>
      <c r="AC317" s="209"/>
      <c r="AD317" s="209"/>
      <c r="AE317" s="209"/>
      <c r="AF317" s="209"/>
      <c r="AG317" s="209"/>
      <c r="AH317" s="209"/>
      <c r="AI317" s="209"/>
      <c r="AJ317" s="209"/>
      <c r="AK317" s="209"/>
      <c r="AL317" s="209"/>
      <c r="AM317" s="209"/>
      <c r="AN317" s="209"/>
      <c r="AO317" s="209"/>
      <c r="AP317" s="209"/>
    </row>
    <row r="318" spans="1:42" ht="15.75" customHeight="1">
      <c r="A318" s="209"/>
      <c r="B318" s="209"/>
      <c r="C318" s="209"/>
      <c r="D318" s="209"/>
      <c r="E318" s="209"/>
      <c r="F318" s="209"/>
      <c r="G318" s="209"/>
      <c r="H318" s="296"/>
      <c r="I318" s="296"/>
      <c r="J318" s="296"/>
      <c r="K318" s="296"/>
      <c r="L318" s="296"/>
      <c r="M318" s="296"/>
      <c r="N318" s="209"/>
      <c r="O318" s="209"/>
      <c r="P318" s="209"/>
      <c r="Q318" s="209"/>
      <c r="R318" s="209"/>
      <c r="S318" s="209"/>
      <c r="T318" s="209"/>
      <c r="U318" s="209"/>
      <c r="V318" s="209"/>
      <c r="W318" s="209"/>
      <c r="X318" s="209"/>
      <c r="Y318" s="209"/>
      <c r="Z318" s="209"/>
      <c r="AA318" s="209"/>
      <c r="AB318" s="209"/>
      <c r="AC318" s="209"/>
      <c r="AD318" s="209"/>
      <c r="AE318" s="209"/>
      <c r="AF318" s="209"/>
      <c r="AG318" s="209"/>
      <c r="AH318" s="209"/>
      <c r="AI318" s="209"/>
      <c r="AJ318" s="209"/>
      <c r="AK318" s="209"/>
      <c r="AL318" s="209"/>
      <c r="AM318" s="209"/>
      <c r="AN318" s="209"/>
      <c r="AO318" s="209"/>
      <c r="AP318" s="209"/>
    </row>
    <row r="319" spans="1:42" ht="15.75" customHeight="1">
      <c r="A319" s="209"/>
      <c r="B319" s="209"/>
      <c r="C319" s="209"/>
      <c r="D319" s="209"/>
      <c r="E319" s="209"/>
      <c r="F319" s="209"/>
      <c r="G319" s="209"/>
      <c r="H319" s="296"/>
      <c r="I319" s="296"/>
      <c r="J319" s="296"/>
      <c r="K319" s="296"/>
      <c r="L319" s="296"/>
      <c r="M319" s="296"/>
      <c r="N319" s="209"/>
      <c r="O319" s="209"/>
      <c r="P319" s="209"/>
      <c r="Q319" s="209"/>
      <c r="R319" s="209"/>
      <c r="S319" s="209"/>
      <c r="T319" s="209"/>
      <c r="U319" s="209"/>
      <c r="V319" s="209"/>
      <c r="W319" s="209"/>
      <c r="X319" s="209"/>
      <c r="Y319" s="209"/>
      <c r="Z319" s="209"/>
      <c r="AA319" s="209"/>
      <c r="AB319" s="209"/>
      <c r="AC319" s="209"/>
      <c r="AD319" s="209"/>
      <c r="AE319" s="209"/>
      <c r="AF319" s="209"/>
      <c r="AG319" s="209"/>
      <c r="AH319" s="209"/>
      <c r="AI319" s="209"/>
      <c r="AJ319" s="209"/>
      <c r="AK319" s="209"/>
      <c r="AL319" s="209"/>
      <c r="AM319" s="209"/>
      <c r="AN319" s="209"/>
      <c r="AO319" s="209"/>
      <c r="AP319" s="209"/>
    </row>
    <row r="320" spans="1:42" ht="15.75" customHeight="1">
      <c r="A320" s="209"/>
      <c r="B320" s="209"/>
      <c r="C320" s="209"/>
      <c r="D320" s="209"/>
      <c r="E320" s="209"/>
      <c r="F320" s="209"/>
      <c r="G320" s="209"/>
      <c r="H320" s="296"/>
      <c r="I320" s="296"/>
      <c r="J320" s="296"/>
      <c r="K320" s="296"/>
      <c r="L320" s="296"/>
      <c r="M320" s="296"/>
      <c r="N320" s="209"/>
      <c r="O320" s="209"/>
      <c r="P320" s="209"/>
      <c r="Q320" s="209"/>
      <c r="R320" s="209"/>
      <c r="S320" s="209"/>
      <c r="T320" s="209"/>
      <c r="U320" s="209"/>
      <c r="V320" s="209"/>
      <c r="W320" s="209"/>
      <c r="X320" s="209"/>
      <c r="Y320" s="209"/>
      <c r="Z320" s="209"/>
      <c r="AA320" s="209"/>
      <c r="AB320" s="209"/>
      <c r="AC320" s="209"/>
      <c r="AD320" s="209"/>
      <c r="AE320" s="209"/>
      <c r="AF320" s="209"/>
      <c r="AG320" s="209"/>
      <c r="AH320" s="209"/>
      <c r="AI320" s="209"/>
      <c r="AJ320" s="209"/>
      <c r="AK320" s="209"/>
      <c r="AL320" s="209"/>
      <c r="AM320" s="209"/>
      <c r="AN320" s="209"/>
      <c r="AO320" s="209"/>
      <c r="AP320" s="209"/>
    </row>
    <row r="321" spans="1:42" ht="15.75" customHeight="1">
      <c r="A321" s="209"/>
      <c r="B321" s="209"/>
      <c r="C321" s="209"/>
      <c r="D321" s="209"/>
      <c r="E321" s="209"/>
      <c r="F321" s="209"/>
      <c r="G321" s="209"/>
      <c r="H321" s="296"/>
      <c r="I321" s="296"/>
      <c r="J321" s="296"/>
      <c r="K321" s="296"/>
      <c r="L321" s="296"/>
      <c r="M321" s="296"/>
      <c r="N321" s="209"/>
      <c r="O321" s="209"/>
      <c r="P321" s="209"/>
      <c r="Q321" s="209"/>
      <c r="R321" s="209"/>
      <c r="S321" s="209"/>
      <c r="T321" s="209"/>
      <c r="U321" s="209"/>
      <c r="V321" s="209"/>
      <c r="W321" s="209"/>
      <c r="X321" s="209"/>
      <c r="Y321" s="209"/>
      <c r="Z321" s="209"/>
      <c r="AA321" s="209"/>
      <c r="AB321" s="209"/>
      <c r="AC321" s="209"/>
      <c r="AD321" s="209"/>
      <c r="AE321" s="209"/>
      <c r="AF321" s="209"/>
      <c r="AG321" s="209"/>
      <c r="AH321" s="209"/>
      <c r="AI321" s="209"/>
      <c r="AJ321" s="209"/>
      <c r="AK321" s="209"/>
      <c r="AL321" s="209"/>
      <c r="AM321" s="209"/>
      <c r="AN321" s="209"/>
      <c r="AO321" s="209"/>
      <c r="AP321" s="209"/>
    </row>
    <row r="322" spans="1:42" ht="15.75" customHeight="1">
      <c r="A322" s="209"/>
      <c r="B322" s="209"/>
      <c r="C322" s="209"/>
      <c r="D322" s="209"/>
      <c r="E322" s="209"/>
      <c r="F322" s="209"/>
      <c r="G322" s="209"/>
      <c r="H322" s="296"/>
      <c r="I322" s="296"/>
      <c r="J322" s="296"/>
      <c r="K322" s="296"/>
      <c r="L322" s="296"/>
      <c r="M322" s="296"/>
      <c r="N322" s="209"/>
      <c r="O322" s="209"/>
      <c r="P322" s="209"/>
      <c r="Q322" s="209"/>
      <c r="R322" s="209"/>
      <c r="S322" s="209"/>
      <c r="T322" s="209"/>
      <c r="U322" s="209"/>
      <c r="V322" s="209"/>
      <c r="W322" s="209"/>
      <c r="X322" s="209"/>
      <c r="Y322" s="209"/>
      <c r="Z322" s="209"/>
      <c r="AA322" s="209"/>
      <c r="AB322" s="209"/>
      <c r="AC322" s="209"/>
      <c r="AD322" s="209"/>
      <c r="AE322" s="209"/>
      <c r="AF322" s="209"/>
      <c r="AG322" s="209"/>
      <c r="AH322" s="209"/>
      <c r="AI322" s="209"/>
      <c r="AJ322" s="209"/>
      <c r="AK322" s="209"/>
      <c r="AL322" s="209"/>
      <c r="AM322" s="209"/>
      <c r="AN322" s="209"/>
      <c r="AO322" s="209"/>
      <c r="AP322" s="209"/>
    </row>
    <row r="323" spans="1:42" ht="15.75" customHeight="1">
      <c r="A323" s="209"/>
      <c r="B323" s="209"/>
      <c r="C323" s="209"/>
      <c r="D323" s="209"/>
      <c r="E323" s="209"/>
      <c r="F323" s="209"/>
      <c r="G323" s="209"/>
      <c r="H323" s="296"/>
      <c r="I323" s="296"/>
      <c r="J323" s="296"/>
      <c r="K323" s="296"/>
      <c r="L323" s="296"/>
      <c r="M323" s="296"/>
      <c r="N323" s="209"/>
      <c r="O323" s="209"/>
      <c r="P323" s="209"/>
      <c r="Q323" s="209"/>
      <c r="R323" s="209"/>
      <c r="S323" s="209"/>
      <c r="T323" s="209"/>
      <c r="U323" s="209"/>
      <c r="V323" s="209"/>
      <c r="W323" s="209"/>
      <c r="X323" s="209"/>
      <c r="Y323" s="209"/>
      <c r="Z323" s="209"/>
      <c r="AA323" s="209"/>
      <c r="AB323" s="209"/>
      <c r="AC323" s="209"/>
      <c r="AD323" s="209"/>
      <c r="AE323" s="209"/>
      <c r="AF323" s="209"/>
      <c r="AG323" s="209"/>
      <c r="AH323" s="209"/>
      <c r="AI323" s="209"/>
      <c r="AJ323" s="209"/>
      <c r="AK323" s="209"/>
      <c r="AL323" s="209"/>
      <c r="AM323" s="209"/>
      <c r="AN323" s="209"/>
      <c r="AO323" s="209"/>
      <c r="AP323" s="209"/>
    </row>
    <row r="324" spans="1:42" ht="15.75" customHeight="1">
      <c r="A324" s="209"/>
      <c r="B324" s="209"/>
      <c r="C324" s="209"/>
      <c r="D324" s="209"/>
      <c r="E324" s="209"/>
      <c r="F324" s="209"/>
      <c r="G324" s="209"/>
      <c r="H324" s="296"/>
      <c r="I324" s="296"/>
      <c r="J324" s="296"/>
      <c r="K324" s="296"/>
      <c r="L324" s="296"/>
      <c r="M324" s="296"/>
      <c r="N324" s="209"/>
      <c r="O324" s="209"/>
      <c r="P324" s="209"/>
      <c r="Q324" s="209"/>
      <c r="R324" s="209"/>
      <c r="S324" s="209"/>
      <c r="T324" s="209"/>
      <c r="U324" s="209"/>
      <c r="V324" s="209"/>
      <c r="W324" s="209"/>
      <c r="X324" s="209"/>
      <c r="Y324" s="209"/>
      <c r="Z324" s="209"/>
      <c r="AA324" s="209"/>
      <c r="AB324" s="209"/>
      <c r="AC324" s="209"/>
      <c r="AD324" s="209"/>
      <c r="AE324" s="209"/>
      <c r="AF324" s="209"/>
      <c r="AG324" s="209"/>
      <c r="AH324" s="209"/>
      <c r="AI324" s="209"/>
      <c r="AJ324" s="209"/>
      <c r="AK324" s="209"/>
      <c r="AL324" s="209"/>
      <c r="AM324" s="209"/>
      <c r="AN324" s="209"/>
      <c r="AO324" s="209"/>
      <c r="AP324" s="209"/>
    </row>
    <row r="325" spans="1:42" ht="15.75" customHeight="1">
      <c r="A325" s="209"/>
      <c r="B325" s="209"/>
      <c r="C325" s="209"/>
      <c r="D325" s="209"/>
      <c r="E325" s="209"/>
      <c r="F325" s="209"/>
      <c r="G325" s="209"/>
      <c r="H325" s="296"/>
      <c r="I325" s="296"/>
      <c r="J325" s="296"/>
      <c r="K325" s="296"/>
      <c r="L325" s="296"/>
      <c r="M325" s="296"/>
      <c r="N325" s="209"/>
      <c r="O325" s="209"/>
      <c r="P325" s="209"/>
      <c r="Q325" s="209"/>
      <c r="R325" s="209"/>
      <c r="S325" s="209"/>
      <c r="T325" s="209"/>
      <c r="U325" s="209"/>
      <c r="V325" s="209"/>
      <c r="W325" s="209"/>
      <c r="X325" s="209"/>
      <c r="Y325" s="209"/>
      <c r="Z325" s="209"/>
      <c r="AA325" s="209"/>
      <c r="AB325" s="209"/>
      <c r="AC325" s="209"/>
      <c r="AD325" s="209"/>
      <c r="AE325" s="209"/>
      <c r="AF325" s="209"/>
      <c r="AG325" s="209"/>
      <c r="AH325" s="209"/>
      <c r="AI325" s="209"/>
      <c r="AJ325" s="209"/>
      <c r="AK325" s="209"/>
      <c r="AL325" s="209"/>
      <c r="AM325" s="209"/>
      <c r="AN325" s="209"/>
      <c r="AO325" s="209"/>
      <c r="AP325" s="209"/>
    </row>
    <row r="326" spans="1:42" ht="15.75" customHeight="1">
      <c r="A326" s="209"/>
      <c r="B326" s="209"/>
      <c r="C326" s="209"/>
      <c r="D326" s="209"/>
      <c r="E326" s="209"/>
      <c r="F326" s="209"/>
      <c r="G326" s="209"/>
      <c r="H326" s="296"/>
      <c r="I326" s="296"/>
      <c r="J326" s="296"/>
      <c r="K326" s="296"/>
      <c r="L326" s="296"/>
      <c r="M326" s="296"/>
      <c r="N326" s="209"/>
      <c r="O326" s="209"/>
      <c r="P326" s="209"/>
      <c r="Q326" s="209"/>
      <c r="R326" s="209"/>
      <c r="S326" s="209"/>
      <c r="T326" s="209"/>
      <c r="U326" s="209"/>
      <c r="V326" s="209"/>
      <c r="W326" s="209"/>
      <c r="X326" s="209"/>
      <c r="Y326" s="209"/>
      <c r="Z326" s="209"/>
      <c r="AA326" s="209"/>
      <c r="AB326" s="209"/>
      <c r="AC326" s="209"/>
      <c r="AD326" s="209"/>
      <c r="AE326" s="209"/>
      <c r="AF326" s="209"/>
      <c r="AG326" s="209"/>
      <c r="AH326" s="209"/>
      <c r="AI326" s="209"/>
      <c r="AJ326" s="209"/>
      <c r="AK326" s="209"/>
      <c r="AL326" s="209"/>
      <c r="AM326" s="209"/>
      <c r="AN326" s="209"/>
      <c r="AO326" s="209"/>
      <c r="AP326" s="209"/>
    </row>
    <row r="327" spans="1:42" ht="15.75" customHeight="1">
      <c r="A327" s="209"/>
      <c r="B327" s="209"/>
      <c r="C327" s="209"/>
      <c r="D327" s="209"/>
      <c r="E327" s="209"/>
      <c r="F327" s="209"/>
      <c r="G327" s="209"/>
      <c r="H327" s="296"/>
      <c r="I327" s="296"/>
      <c r="J327" s="296"/>
      <c r="K327" s="296"/>
      <c r="L327" s="296"/>
      <c r="M327" s="296"/>
      <c r="N327" s="209"/>
      <c r="O327" s="209"/>
      <c r="P327" s="209"/>
      <c r="Q327" s="209"/>
      <c r="R327" s="209"/>
      <c r="S327" s="209"/>
      <c r="T327" s="209"/>
      <c r="U327" s="209"/>
      <c r="V327" s="209"/>
      <c r="W327" s="209"/>
      <c r="X327" s="209"/>
      <c r="Y327" s="209"/>
      <c r="Z327" s="209"/>
      <c r="AA327" s="209"/>
      <c r="AB327" s="209"/>
      <c r="AC327" s="209"/>
      <c r="AD327" s="209"/>
      <c r="AE327" s="209"/>
      <c r="AF327" s="209"/>
      <c r="AG327" s="209"/>
      <c r="AH327" s="209"/>
      <c r="AI327" s="209"/>
      <c r="AJ327" s="209"/>
      <c r="AK327" s="209"/>
      <c r="AL327" s="209"/>
      <c r="AM327" s="209"/>
      <c r="AN327" s="209"/>
      <c r="AO327" s="209"/>
      <c r="AP327" s="209"/>
    </row>
    <row r="328" spans="1:42" ht="15.75" customHeight="1">
      <c r="A328" s="209"/>
      <c r="B328" s="209"/>
      <c r="C328" s="209"/>
      <c r="D328" s="209"/>
      <c r="E328" s="209"/>
      <c r="F328" s="209"/>
      <c r="G328" s="209"/>
      <c r="H328" s="296"/>
      <c r="I328" s="296"/>
      <c r="J328" s="296"/>
      <c r="K328" s="296"/>
      <c r="L328" s="296"/>
      <c r="M328" s="296"/>
      <c r="N328" s="209"/>
      <c r="O328" s="209"/>
      <c r="P328" s="209"/>
      <c r="Q328" s="209"/>
      <c r="R328" s="209"/>
      <c r="S328" s="209"/>
      <c r="T328" s="209"/>
      <c r="U328" s="209"/>
      <c r="V328" s="209"/>
      <c r="W328" s="209"/>
      <c r="X328" s="209"/>
      <c r="Y328" s="209"/>
      <c r="Z328" s="209"/>
      <c r="AA328" s="209"/>
      <c r="AB328" s="209"/>
      <c r="AC328" s="209"/>
      <c r="AD328" s="209"/>
      <c r="AE328" s="209"/>
      <c r="AF328" s="209"/>
      <c r="AG328" s="209"/>
      <c r="AH328" s="209"/>
      <c r="AI328" s="209"/>
      <c r="AJ328" s="209"/>
      <c r="AK328" s="209"/>
      <c r="AL328" s="209"/>
      <c r="AM328" s="209"/>
      <c r="AN328" s="209"/>
      <c r="AO328" s="209"/>
      <c r="AP328" s="209"/>
    </row>
    <row r="329" spans="1:42" ht="15.75" customHeight="1">
      <c r="A329" s="209"/>
      <c r="B329" s="209"/>
      <c r="C329" s="209"/>
      <c r="D329" s="209"/>
      <c r="E329" s="209"/>
      <c r="F329" s="209"/>
      <c r="G329" s="209"/>
      <c r="H329" s="296"/>
      <c r="I329" s="296"/>
      <c r="J329" s="296"/>
      <c r="K329" s="296"/>
      <c r="L329" s="296"/>
      <c r="M329" s="296"/>
      <c r="N329" s="209"/>
      <c r="O329" s="209"/>
      <c r="P329" s="209"/>
      <c r="Q329" s="209"/>
      <c r="R329" s="209"/>
      <c r="S329" s="209"/>
      <c r="T329" s="209"/>
      <c r="U329" s="209"/>
      <c r="V329" s="209"/>
      <c r="W329" s="209"/>
      <c r="X329" s="209"/>
      <c r="Y329" s="209"/>
      <c r="Z329" s="209"/>
      <c r="AA329" s="209"/>
      <c r="AB329" s="209"/>
      <c r="AC329" s="209"/>
      <c r="AD329" s="209"/>
      <c r="AE329" s="209"/>
      <c r="AF329" s="209"/>
      <c r="AG329" s="209"/>
      <c r="AH329" s="209"/>
      <c r="AI329" s="209"/>
      <c r="AJ329" s="209"/>
      <c r="AK329" s="209"/>
      <c r="AL329" s="209"/>
      <c r="AM329" s="209"/>
      <c r="AN329" s="209"/>
      <c r="AO329" s="209"/>
      <c r="AP329" s="209"/>
    </row>
    <row r="330" spans="1:42" ht="15.75" customHeight="1">
      <c r="A330" s="209"/>
      <c r="B330" s="209"/>
      <c r="C330" s="209"/>
      <c r="D330" s="209"/>
      <c r="E330" s="209"/>
      <c r="F330" s="209"/>
      <c r="G330" s="209"/>
      <c r="H330" s="296"/>
      <c r="I330" s="296"/>
      <c r="J330" s="296"/>
      <c r="K330" s="296"/>
      <c r="L330" s="296"/>
      <c r="M330" s="296"/>
      <c r="N330" s="209"/>
      <c r="O330" s="209"/>
      <c r="P330" s="209"/>
      <c r="Q330" s="209"/>
      <c r="R330" s="209"/>
      <c r="S330" s="209"/>
      <c r="T330" s="209"/>
      <c r="U330" s="209"/>
      <c r="V330" s="209"/>
      <c r="W330" s="209"/>
      <c r="X330" s="209"/>
      <c r="Y330" s="209"/>
      <c r="Z330" s="209"/>
      <c r="AA330" s="209"/>
      <c r="AB330" s="209"/>
      <c r="AC330" s="209"/>
      <c r="AD330" s="209"/>
      <c r="AE330" s="209"/>
      <c r="AF330" s="209"/>
      <c r="AG330" s="209"/>
      <c r="AH330" s="209"/>
      <c r="AI330" s="209"/>
      <c r="AJ330" s="209"/>
      <c r="AK330" s="209"/>
      <c r="AL330" s="209"/>
      <c r="AM330" s="209"/>
      <c r="AN330" s="209"/>
      <c r="AO330" s="209"/>
      <c r="AP330" s="209"/>
    </row>
    <row r="331" spans="1:42" ht="15.75" customHeight="1">
      <c r="A331" s="209"/>
      <c r="B331" s="209"/>
      <c r="C331" s="209"/>
      <c r="D331" s="209"/>
      <c r="E331" s="209"/>
      <c r="F331" s="209"/>
      <c r="G331" s="209"/>
      <c r="H331" s="296"/>
      <c r="I331" s="296"/>
      <c r="J331" s="296"/>
      <c r="K331" s="296"/>
      <c r="L331" s="296"/>
      <c r="M331" s="296"/>
      <c r="N331" s="209"/>
      <c r="O331" s="209"/>
      <c r="P331" s="209"/>
      <c r="Q331" s="209"/>
      <c r="R331" s="209"/>
      <c r="S331" s="209"/>
      <c r="T331" s="209"/>
      <c r="U331" s="209"/>
      <c r="V331" s="209"/>
      <c r="W331" s="209"/>
      <c r="X331" s="209"/>
      <c r="Y331" s="209"/>
      <c r="Z331" s="209"/>
      <c r="AA331" s="209"/>
      <c r="AB331" s="209"/>
      <c r="AC331" s="209"/>
      <c r="AD331" s="209"/>
      <c r="AE331" s="209"/>
      <c r="AF331" s="209"/>
      <c r="AG331" s="209"/>
      <c r="AH331" s="209"/>
      <c r="AI331" s="209"/>
      <c r="AJ331" s="209"/>
      <c r="AK331" s="209"/>
      <c r="AL331" s="209"/>
      <c r="AM331" s="209"/>
      <c r="AN331" s="209"/>
      <c r="AO331" s="209"/>
      <c r="AP331" s="209"/>
    </row>
    <row r="332" spans="1:42" ht="15.75" customHeight="1">
      <c r="A332" s="209"/>
      <c r="B332" s="209"/>
      <c r="C332" s="209"/>
      <c r="D332" s="209"/>
      <c r="E332" s="209"/>
      <c r="F332" s="209"/>
      <c r="G332" s="209"/>
      <c r="H332" s="296"/>
      <c r="I332" s="296"/>
      <c r="J332" s="296"/>
      <c r="K332" s="296"/>
      <c r="L332" s="296"/>
      <c r="M332" s="296"/>
      <c r="N332" s="209"/>
      <c r="O332" s="209"/>
      <c r="P332" s="209"/>
      <c r="Q332" s="209"/>
      <c r="R332" s="209"/>
      <c r="S332" s="209"/>
      <c r="T332" s="209"/>
      <c r="U332" s="209"/>
      <c r="V332" s="209"/>
      <c r="W332" s="209"/>
      <c r="X332" s="209"/>
      <c r="Y332" s="209"/>
      <c r="Z332" s="209"/>
      <c r="AA332" s="209"/>
      <c r="AB332" s="209"/>
      <c r="AC332" s="209"/>
      <c r="AD332" s="209"/>
      <c r="AE332" s="209"/>
      <c r="AF332" s="209"/>
      <c r="AG332" s="209"/>
      <c r="AH332" s="209"/>
      <c r="AI332" s="209"/>
      <c r="AJ332" s="209"/>
      <c r="AK332" s="209"/>
      <c r="AL332" s="209"/>
      <c r="AM332" s="209"/>
      <c r="AN332" s="209"/>
      <c r="AO332" s="209"/>
      <c r="AP332" s="209"/>
    </row>
    <row r="333" spans="1:42" ht="15.75" customHeight="1">
      <c r="A333" s="209"/>
      <c r="B333" s="209"/>
      <c r="C333" s="209"/>
      <c r="D333" s="209"/>
      <c r="E333" s="209"/>
      <c r="F333" s="209"/>
      <c r="G333" s="209"/>
      <c r="H333" s="296"/>
      <c r="I333" s="296"/>
      <c r="J333" s="296"/>
      <c r="K333" s="296"/>
      <c r="L333" s="296"/>
      <c r="M333" s="296"/>
      <c r="N333" s="209"/>
      <c r="O333" s="209"/>
      <c r="P333" s="209"/>
      <c r="Q333" s="209"/>
      <c r="R333" s="209"/>
      <c r="S333" s="209"/>
      <c r="T333" s="209"/>
      <c r="U333" s="209"/>
      <c r="V333" s="209"/>
      <c r="W333" s="209"/>
      <c r="X333" s="209"/>
      <c r="Y333" s="209"/>
      <c r="Z333" s="209"/>
      <c r="AA333" s="209"/>
      <c r="AB333" s="209"/>
      <c r="AC333" s="209"/>
      <c r="AD333" s="209"/>
      <c r="AE333" s="209"/>
      <c r="AF333" s="209"/>
      <c r="AG333" s="209"/>
      <c r="AH333" s="209"/>
      <c r="AI333" s="209"/>
      <c r="AJ333" s="209"/>
      <c r="AK333" s="209"/>
      <c r="AL333" s="209"/>
      <c r="AM333" s="209"/>
      <c r="AN333" s="209"/>
      <c r="AO333" s="209"/>
      <c r="AP333" s="209"/>
    </row>
    <row r="334" spans="1:42" ht="15.75" customHeight="1">
      <c r="A334" s="209"/>
      <c r="B334" s="209"/>
      <c r="C334" s="209"/>
      <c r="D334" s="209"/>
      <c r="E334" s="209"/>
      <c r="F334" s="209"/>
      <c r="G334" s="209"/>
      <c r="H334" s="296"/>
      <c r="I334" s="296"/>
      <c r="J334" s="296"/>
      <c r="K334" s="296"/>
      <c r="L334" s="296"/>
      <c r="M334" s="296"/>
      <c r="N334" s="209"/>
      <c r="O334" s="209"/>
      <c r="P334" s="209"/>
      <c r="Q334" s="209"/>
      <c r="R334" s="209"/>
      <c r="S334" s="209"/>
      <c r="T334" s="209"/>
      <c r="U334" s="209"/>
      <c r="V334" s="209"/>
      <c r="W334" s="209"/>
      <c r="X334" s="209"/>
      <c r="Y334" s="209"/>
      <c r="Z334" s="209"/>
      <c r="AA334" s="209"/>
      <c r="AB334" s="209"/>
      <c r="AC334" s="209"/>
      <c r="AD334" s="209"/>
      <c r="AE334" s="209"/>
      <c r="AF334" s="209"/>
      <c r="AG334" s="209"/>
      <c r="AH334" s="209"/>
      <c r="AI334" s="209"/>
      <c r="AJ334" s="209"/>
      <c r="AK334" s="209"/>
      <c r="AL334" s="209"/>
      <c r="AM334" s="209"/>
      <c r="AN334" s="209"/>
      <c r="AO334" s="209"/>
      <c r="AP334" s="209"/>
    </row>
    <row r="335" spans="1:42" ht="15.75" customHeight="1">
      <c r="A335" s="209"/>
      <c r="B335" s="209"/>
      <c r="C335" s="209"/>
      <c r="D335" s="209"/>
      <c r="E335" s="209"/>
      <c r="F335" s="209"/>
      <c r="G335" s="209"/>
      <c r="H335" s="296"/>
      <c r="I335" s="296"/>
      <c r="J335" s="296"/>
      <c r="K335" s="296"/>
      <c r="L335" s="296"/>
      <c r="M335" s="296"/>
      <c r="N335" s="209"/>
      <c r="O335" s="209"/>
      <c r="P335" s="209"/>
      <c r="Q335" s="209"/>
      <c r="R335" s="209"/>
      <c r="S335" s="209"/>
      <c r="T335" s="209"/>
      <c r="U335" s="209"/>
      <c r="V335" s="209"/>
      <c r="W335" s="209"/>
      <c r="X335" s="209"/>
      <c r="Y335" s="209"/>
      <c r="Z335" s="209"/>
      <c r="AA335" s="209"/>
      <c r="AB335" s="209"/>
      <c r="AC335" s="209"/>
      <c r="AD335" s="209"/>
      <c r="AE335" s="209"/>
      <c r="AF335" s="209"/>
      <c r="AG335" s="209"/>
      <c r="AH335" s="209"/>
      <c r="AI335" s="209"/>
      <c r="AJ335" s="209"/>
      <c r="AK335" s="209"/>
      <c r="AL335" s="209"/>
      <c r="AM335" s="209"/>
      <c r="AN335" s="209"/>
      <c r="AO335" s="209"/>
      <c r="AP335" s="209"/>
    </row>
    <row r="336" spans="1:42" ht="15.75" customHeight="1">
      <c r="A336" s="209"/>
      <c r="B336" s="209"/>
      <c r="C336" s="209"/>
      <c r="D336" s="209"/>
      <c r="E336" s="209"/>
      <c r="F336" s="209"/>
      <c r="G336" s="209"/>
      <c r="H336" s="296"/>
      <c r="I336" s="296"/>
      <c r="J336" s="296"/>
      <c r="K336" s="296"/>
      <c r="L336" s="296"/>
      <c r="M336" s="296"/>
      <c r="N336" s="209"/>
      <c r="O336" s="209"/>
      <c r="P336" s="209"/>
      <c r="Q336" s="209"/>
      <c r="R336" s="209"/>
      <c r="S336" s="209"/>
      <c r="T336" s="209"/>
      <c r="U336" s="209"/>
      <c r="V336" s="209"/>
      <c r="W336" s="209"/>
      <c r="X336" s="209"/>
      <c r="Y336" s="209"/>
      <c r="Z336" s="209"/>
      <c r="AA336" s="209"/>
      <c r="AB336" s="209"/>
      <c r="AC336" s="209"/>
      <c r="AD336" s="209"/>
      <c r="AE336" s="209"/>
      <c r="AF336" s="209"/>
      <c r="AG336" s="209"/>
      <c r="AH336" s="209"/>
      <c r="AI336" s="209"/>
      <c r="AJ336" s="209"/>
      <c r="AK336" s="209"/>
      <c r="AL336" s="209"/>
      <c r="AM336" s="209"/>
      <c r="AN336" s="209"/>
      <c r="AO336" s="209"/>
      <c r="AP336" s="209"/>
    </row>
    <row r="337" spans="1:42" ht="15.75" customHeight="1">
      <c r="A337" s="209"/>
      <c r="B337" s="209"/>
      <c r="C337" s="209"/>
      <c r="D337" s="209"/>
      <c r="E337" s="209"/>
      <c r="F337" s="209"/>
      <c r="G337" s="209"/>
      <c r="H337" s="296"/>
      <c r="I337" s="296"/>
      <c r="J337" s="296"/>
      <c r="K337" s="296"/>
      <c r="L337" s="296"/>
      <c r="M337" s="296"/>
      <c r="N337" s="209"/>
      <c r="O337" s="209"/>
      <c r="P337" s="209"/>
      <c r="Q337" s="209"/>
      <c r="R337" s="209"/>
      <c r="S337" s="209"/>
      <c r="T337" s="209"/>
      <c r="U337" s="209"/>
      <c r="V337" s="209"/>
      <c r="W337" s="209"/>
      <c r="X337" s="209"/>
      <c r="Y337" s="209"/>
      <c r="Z337" s="209"/>
      <c r="AA337" s="209"/>
      <c r="AB337" s="209"/>
      <c r="AC337" s="209"/>
      <c r="AD337" s="209"/>
      <c r="AE337" s="209"/>
      <c r="AF337" s="209"/>
      <c r="AG337" s="209"/>
      <c r="AH337" s="209"/>
      <c r="AI337" s="209"/>
      <c r="AJ337" s="209"/>
      <c r="AK337" s="209"/>
      <c r="AL337" s="209"/>
      <c r="AM337" s="209"/>
      <c r="AN337" s="209"/>
      <c r="AO337" s="209"/>
      <c r="AP337" s="209"/>
    </row>
    <row r="338" spans="1:42" ht="15.75" customHeight="1">
      <c r="A338" s="209"/>
      <c r="B338" s="209"/>
      <c r="C338" s="209"/>
      <c r="D338" s="209"/>
      <c r="E338" s="209"/>
      <c r="F338" s="209"/>
      <c r="G338" s="209"/>
      <c r="H338" s="296"/>
      <c r="I338" s="296"/>
      <c r="J338" s="296"/>
      <c r="K338" s="296"/>
      <c r="L338" s="296"/>
      <c r="M338" s="296"/>
      <c r="N338" s="209"/>
      <c r="O338" s="209"/>
      <c r="P338" s="209"/>
      <c r="Q338" s="209"/>
      <c r="R338" s="209"/>
      <c r="S338" s="209"/>
      <c r="T338" s="209"/>
      <c r="U338" s="209"/>
      <c r="V338" s="209"/>
      <c r="W338" s="209"/>
      <c r="X338" s="209"/>
      <c r="Y338" s="209"/>
      <c r="Z338" s="209"/>
      <c r="AA338" s="209"/>
      <c r="AB338" s="209"/>
      <c r="AC338" s="209"/>
      <c r="AD338" s="209"/>
      <c r="AE338" s="209"/>
      <c r="AF338" s="209"/>
      <c r="AG338" s="209"/>
      <c r="AH338" s="209"/>
      <c r="AI338" s="209"/>
      <c r="AJ338" s="209"/>
      <c r="AK338" s="209"/>
      <c r="AL338" s="209"/>
      <c r="AM338" s="209"/>
      <c r="AN338" s="209"/>
      <c r="AO338" s="209"/>
      <c r="AP338" s="209"/>
    </row>
    <row r="339" spans="1:42" ht="15.75" customHeight="1">
      <c r="A339" s="209"/>
      <c r="B339" s="209"/>
      <c r="C339" s="209"/>
      <c r="D339" s="209"/>
      <c r="E339" s="209"/>
      <c r="F339" s="209"/>
      <c r="G339" s="209"/>
      <c r="H339" s="296"/>
      <c r="I339" s="296"/>
      <c r="J339" s="296"/>
      <c r="K339" s="296"/>
      <c r="L339" s="296"/>
      <c r="M339" s="296"/>
      <c r="N339" s="209"/>
      <c r="O339" s="209"/>
      <c r="P339" s="209"/>
      <c r="Q339" s="209"/>
      <c r="R339" s="209"/>
      <c r="S339" s="209"/>
      <c r="T339" s="209"/>
      <c r="U339" s="209"/>
      <c r="V339" s="209"/>
      <c r="W339" s="209"/>
      <c r="X339" s="209"/>
      <c r="Y339" s="209"/>
      <c r="Z339" s="209"/>
      <c r="AA339" s="209"/>
      <c r="AB339" s="209"/>
      <c r="AC339" s="209"/>
      <c r="AD339" s="209"/>
      <c r="AE339" s="209"/>
      <c r="AF339" s="209"/>
      <c r="AG339" s="209"/>
      <c r="AH339" s="209"/>
      <c r="AI339" s="209"/>
      <c r="AJ339" s="209"/>
      <c r="AK339" s="209"/>
      <c r="AL339" s="209"/>
      <c r="AM339" s="209"/>
      <c r="AN339" s="209"/>
      <c r="AO339" s="209"/>
      <c r="AP339" s="209"/>
    </row>
    <row r="340" spans="1:42" ht="15.75" customHeight="1">
      <c r="A340" s="209"/>
      <c r="B340" s="209"/>
      <c r="C340" s="209"/>
      <c r="D340" s="209"/>
      <c r="E340" s="209"/>
      <c r="F340" s="209"/>
      <c r="G340" s="209"/>
      <c r="H340" s="296"/>
      <c r="I340" s="296"/>
      <c r="J340" s="296"/>
      <c r="K340" s="296"/>
      <c r="L340" s="296"/>
      <c r="M340" s="296"/>
      <c r="N340" s="209"/>
      <c r="O340" s="209"/>
      <c r="P340" s="209"/>
      <c r="Q340" s="209"/>
      <c r="R340" s="209"/>
      <c r="S340" s="209"/>
      <c r="T340" s="209"/>
      <c r="U340" s="209"/>
      <c r="V340" s="209"/>
      <c r="W340" s="209"/>
      <c r="X340" s="209"/>
      <c r="Y340" s="209"/>
      <c r="Z340" s="209"/>
      <c r="AA340" s="209"/>
      <c r="AB340" s="209"/>
      <c r="AC340" s="209"/>
      <c r="AD340" s="209"/>
      <c r="AE340" s="209"/>
      <c r="AF340" s="209"/>
      <c r="AG340" s="209"/>
      <c r="AH340" s="209"/>
      <c r="AI340" s="209"/>
      <c r="AJ340" s="209"/>
      <c r="AK340" s="209"/>
      <c r="AL340" s="209"/>
      <c r="AM340" s="209"/>
      <c r="AN340" s="209"/>
      <c r="AO340" s="209"/>
      <c r="AP340" s="209"/>
    </row>
    <row r="341" spans="1:42" ht="15.75" customHeight="1">
      <c r="A341" s="209"/>
      <c r="B341" s="209"/>
      <c r="C341" s="209"/>
      <c r="D341" s="209"/>
      <c r="E341" s="209"/>
      <c r="F341" s="209"/>
      <c r="G341" s="209"/>
      <c r="H341" s="296"/>
      <c r="I341" s="296"/>
      <c r="J341" s="296"/>
      <c r="K341" s="296"/>
      <c r="L341" s="296"/>
      <c r="M341" s="296"/>
      <c r="N341" s="209"/>
      <c r="O341" s="209"/>
      <c r="P341" s="209"/>
      <c r="Q341" s="209"/>
      <c r="R341" s="209"/>
      <c r="S341" s="209"/>
      <c r="T341" s="209"/>
      <c r="U341" s="209"/>
      <c r="V341" s="209"/>
      <c r="W341" s="209"/>
      <c r="X341" s="209"/>
      <c r="Y341" s="209"/>
      <c r="Z341" s="209"/>
      <c r="AA341" s="209"/>
      <c r="AB341" s="209"/>
      <c r="AC341" s="209"/>
      <c r="AD341" s="209"/>
      <c r="AE341" s="209"/>
      <c r="AF341" s="209"/>
      <c r="AG341" s="209"/>
      <c r="AH341" s="209"/>
      <c r="AI341" s="209"/>
      <c r="AJ341" s="209"/>
      <c r="AK341" s="209"/>
      <c r="AL341" s="209"/>
      <c r="AM341" s="209"/>
      <c r="AN341" s="209"/>
      <c r="AO341" s="209"/>
      <c r="AP341" s="209"/>
    </row>
    <row r="342" spans="1:42" ht="15.75" customHeight="1">
      <c r="A342" s="209"/>
      <c r="B342" s="209"/>
      <c r="C342" s="209"/>
      <c r="D342" s="209"/>
      <c r="E342" s="209"/>
      <c r="F342" s="209"/>
      <c r="G342" s="209"/>
      <c r="H342" s="296"/>
      <c r="I342" s="296"/>
      <c r="J342" s="296"/>
      <c r="K342" s="296"/>
      <c r="L342" s="296"/>
      <c r="M342" s="296"/>
      <c r="N342" s="209"/>
      <c r="O342" s="209"/>
      <c r="P342" s="209"/>
      <c r="Q342" s="209"/>
      <c r="R342" s="209"/>
      <c r="S342" s="209"/>
      <c r="T342" s="209"/>
      <c r="U342" s="209"/>
      <c r="V342" s="209"/>
      <c r="W342" s="209"/>
      <c r="X342" s="209"/>
      <c r="Y342" s="209"/>
      <c r="Z342" s="209"/>
      <c r="AA342" s="209"/>
      <c r="AB342" s="209"/>
      <c r="AC342" s="209"/>
      <c r="AD342" s="209"/>
      <c r="AE342" s="209"/>
      <c r="AF342" s="209"/>
      <c r="AG342" s="209"/>
      <c r="AH342" s="209"/>
      <c r="AI342" s="209"/>
      <c r="AJ342" s="209"/>
      <c r="AK342" s="209"/>
      <c r="AL342" s="209"/>
      <c r="AM342" s="209"/>
      <c r="AN342" s="209"/>
      <c r="AO342" s="209"/>
      <c r="AP342" s="209"/>
    </row>
    <row r="343" spans="1:42" ht="15.75" customHeight="1">
      <c r="A343" s="209"/>
      <c r="B343" s="209"/>
      <c r="C343" s="209"/>
      <c r="D343" s="209"/>
      <c r="E343" s="209"/>
      <c r="F343" s="209"/>
      <c r="G343" s="209"/>
      <c r="H343" s="296"/>
      <c r="I343" s="296"/>
      <c r="J343" s="296"/>
      <c r="K343" s="296"/>
      <c r="L343" s="296"/>
      <c r="M343" s="296"/>
      <c r="N343" s="209"/>
      <c r="O343" s="209"/>
      <c r="P343" s="209"/>
      <c r="Q343" s="209"/>
      <c r="R343" s="209"/>
      <c r="S343" s="209"/>
      <c r="T343" s="209"/>
      <c r="U343" s="209"/>
      <c r="V343" s="209"/>
      <c r="W343" s="209"/>
      <c r="X343" s="209"/>
      <c r="Y343" s="209"/>
      <c r="Z343" s="209"/>
      <c r="AA343" s="209"/>
      <c r="AB343" s="209"/>
      <c r="AC343" s="209"/>
      <c r="AD343" s="209"/>
      <c r="AE343" s="209"/>
      <c r="AF343" s="209"/>
      <c r="AG343" s="209"/>
      <c r="AH343" s="209"/>
      <c r="AI343" s="209"/>
      <c r="AJ343" s="209"/>
      <c r="AK343" s="209"/>
      <c r="AL343" s="209"/>
      <c r="AM343" s="209"/>
      <c r="AN343" s="209"/>
      <c r="AO343" s="209"/>
      <c r="AP343" s="209"/>
    </row>
    <row r="344" spans="1:42" ht="15.75" customHeight="1">
      <c r="A344" s="209"/>
      <c r="B344" s="209"/>
      <c r="C344" s="209"/>
      <c r="D344" s="209"/>
      <c r="E344" s="209"/>
      <c r="F344" s="209"/>
      <c r="G344" s="209"/>
      <c r="H344" s="296"/>
      <c r="I344" s="296"/>
      <c r="J344" s="296"/>
      <c r="K344" s="296"/>
      <c r="L344" s="296"/>
      <c r="M344" s="296"/>
      <c r="N344" s="209"/>
      <c r="O344" s="209"/>
      <c r="P344" s="209"/>
      <c r="Q344" s="209"/>
      <c r="R344" s="209"/>
      <c r="S344" s="209"/>
      <c r="T344" s="209"/>
      <c r="U344" s="209"/>
      <c r="V344" s="209"/>
      <c r="W344" s="209"/>
      <c r="X344" s="209"/>
      <c r="Y344" s="209"/>
      <c r="Z344" s="209"/>
      <c r="AA344" s="209"/>
      <c r="AB344" s="209"/>
      <c r="AC344" s="209"/>
      <c r="AD344" s="209"/>
      <c r="AE344" s="209"/>
      <c r="AF344" s="209"/>
      <c r="AG344" s="209"/>
      <c r="AH344" s="209"/>
      <c r="AI344" s="209"/>
      <c r="AJ344" s="209"/>
      <c r="AK344" s="209"/>
      <c r="AL344" s="209"/>
      <c r="AM344" s="209"/>
      <c r="AN344" s="209"/>
      <c r="AO344" s="209"/>
      <c r="AP344" s="209"/>
    </row>
    <row r="345" spans="1:42" ht="15.75" customHeight="1">
      <c r="A345" s="209"/>
      <c r="B345" s="209"/>
      <c r="C345" s="209"/>
      <c r="D345" s="209"/>
      <c r="E345" s="209"/>
      <c r="F345" s="209"/>
      <c r="G345" s="209"/>
      <c r="H345" s="296"/>
      <c r="I345" s="296"/>
      <c r="J345" s="296"/>
      <c r="K345" s="296"/>
      <c r="L345" s="296"/>
      <c r="M345" s="296"/>
      <c r="N345" s="209"/>
      <c r="O345" s="209"/>
      <c r="P345" s="209"/>
      <c r="Q345" s="209"/>
      <c r="R345" s="209"/>
      <c r="S345" s="209"/>
      <c r="T345" s="209"/>
      <c r="U345" s="209"/>
      <c r="V345" s="209"/>
      <c r="W345" s="209"/>
      <c r="X345" s="209"/>
      <c r="Y345" s="209"/>
      <c r="Z345" s="209"/>
      <c r="AA345" s="209"/>
      <c r="AB345" s="209"/>
      <c r="AC345" s="209"/>
      <c r="AD345" s="209"/>
      <c r="AE345" s="209"/>
      <c r="AF345" s="209"/>
      <c r="AG345" s="209"/>
      <c r="AH345" s="209"/>
      <c r="AI345" s="209"/>
      <c r="AJ345" s="209"/>
      <c r="AK345" s="209"/>
      <c r="AL345" s="209"/>
      <c r="AM345" s="209"/>
      <c r="AN345" s="209"/>
      <c r="AO345" s="209"/>
      <c r="AP345" s="209"/>
    </row>
    <row r="346" spans="1:42" ht="15.75" customHeight="1">
      <c r="A346" s="209"/>
      <c r="B346" s="209"/>
      <c r="C346" s="209"/>
      <c r="D346" s="209"/>
      <c r="E346" s="209"/>
      <c r="F346" s="209"/>
      <c r="G346" s="209"/>
      <c r="H346" s="296"/>
      <c r="I346" s="296"/>
      <c r="J346" s="296"/>
      <c r="K346" s="296"/>
      <c r="L346" s="296"/>
      <c r="M346" s="296"/>
      <c r="N346" s="209"/>
      <c r="O346" s="209"/>
      <c r="P346" s="209"/>
      <c r="Q346" s="209"/>
      <c r="R346" s="209"/>
      <c r="S346" s="209"/>
      <c r="T346" s="209"/>
      <c r="U346" s="209"/>
      <c r="V346" s="209"/>
      <c r="W346" s="209"/>
      <c r="X346" s="209"/>
      <c r="Y346" s="209"/>
      <c r="Z346" s="209"/>
      <c r="AA346" s="209"/>
      <c r="AB346" s="209"/>
      <c r="AC346" s="209"/>
      <c r="AD346" s="209"/>
      <c r="AE346" s="209"/>
      <c r="AF346" s="209"/>
      <c r="AG346" s="209"/>
      <c r="AH346" s="209"/>
      <c r="AI346" s="209"/>
      <c r="AJ346" s="209"/>
      <c r="AK346" s="209"/>
      <c r="AL346" s="209"/>
      <c r="AM346" s="209"/>
      <c r="AN346" s="209"/>
      <c r="AO346" s="209"/>
      <c r="AP346" s="209"/>
    </row>
    <row r="347" spans="1:42" ht="15.75" customHeight="1">
      <c r="A347" s="209"/>
      <c r="B347" s="209"/>
      <c r="C347" s="209"/>
      <c r="D347" s="209"/>
      <c r="E347" s="209"/>
      <c r="F347" s="209"/>
      <c r="G347" s="209"/>
      <c r="H347" s="296"/>
      <c r="I347" s="296"/>
      <c r="J347" s="296"/>
      <c r="K347" s="296"/>
      <c r="L347" s="296"/>
      <c r="M347" s="296"/>
      <c r="N347" s="209"/>
      <c r="O347" s="209"/>
      <c r="P347" s="209"/>
      <c r="Q347" s="209"/>
      <c r="R347" s="209"/>
      <c r="S347" s="209"/>
      <c r="T347" s="209"/>
      <c r="U347" s="209"/>
      <c r="V347" s="209"/>
      <c r="W347" s="209"/>
      <c r="X347" s="209"/>
      <c r="Y347" s="209"/>
      <c r="Z347" s="209"/>
      <c r="AA347" s="209"/>
      <c r="AB347" s="209"/>
      <c r="AC347" s="209"/>
      <c r="AD347" s="209"/>
      <c r="AE347" s="209"/>
      <c r="AF347" s="209"/>
      <c r="AG347" s="209"/>
      <c r="AH347" s="209"/>
      <c r="AI347" s="209"/>
      <c r="AJ347" s="209"/>
      <c r="AK347" s="209"/>
      <c r="AL347" s="209"/>
      <c r="AM347" s="209"/>
      <c r="AN347" s="209"/>
      <c r="AO347" s="209"/>
      <c r="AP347" s="209"/>
    </row>
    <row r="348" spans="1:42" ht="15.75" customHeight="1">
      <c r="A348" s="209"/>
      <c r="B348" s="209"/>
      <c r="C348" s="209"/>
      <c r="D348" s="209"/>
      <c r="E348" s="209"/>
      <c r="F348" s="209"/>
      <c r="G348" s="209"/>
      <c r="H348" s="296"/>
      <c r="I348" s="296"/>
      <c r="J348" s="296"/>
      <c r="K348" s="296"/>
      <c r="L348" s="296"/>
      <c r="M348" s="296"/>
      <c r="N348" s="209"/>
      <c r="O348" s="209"/>
      <c r="P348" s="209"/>
      <c r="Q348" s="209"/>
      <c r="R348" s="209"/>
      <c r="S348" s="209"/>
      <c r="T348" s="209"/>
      <c r="U348" s="209"/>
      <c r="V348" s="209"/>
      <c r="W348" s="209"/>
      <c r="X348" s="209"/>
      <c r="Y348" s="209"/>
      <c r="Z348" s="209"/>
      <c r="AA348" s="209"/>
      <c r="AB348" s="209"/>
      <c r="AC348" s="209"/>
      <c r="AD348" s="209"/>
      <c r="AE348" s="209"/>
      <c r="AF348" s="209"/>
      <c r="AG348" s="209"/>
      <c r="AH348" s="209"/>
      <c r="AI348" s="209"/>
      <c r="AJ348" s="209"/>
      <c r="AK348" s="209"/>
      <c r="AL348" s="209"/>
      <c r="AM348" s="209"/>
      <c r="AN348" s="209"/>
      <c r="AO348" s="209"/>
      <c r="AP348" s="209"/>
    </row>
    <row r="349" spans="1:42" ht="15.75" customHeight="1">
      <c r="A349" s="209"/>
      <c r="B349" s="209"/>
      <c r="C349" s="209"/>
      <c r="D349" s="209"/>
      <c r="E349" s="209"/>
      <c r="F349" s="209"/>
      <c r="G349" s="209"/>
      <c r="H349" s="296"/>
      <c r="I349" s="296"/>
      <c r="J349" s="296"/>
      <c r="K349" s="296"/>
      <c r="L349" s="296"/>
      <c r="M349" s="296"/>
      <c r="N349" s="209"/>
      <c r="O349" s="209"/>
      <c r="P349" s="209"/>
      <c r="Q349" s="209"/>
      <c r="R349" s="209"/>
      <c r="S349" s="209"/>
      <c r="T349" s="209"/>
      <c r="U349" s="209"/>
      <c r="V349" s="209"/>
      <c r="W349" s="209"/>
      <c r="X349" s="209"/>
      <c r="Y349" s="209"/>
      <c r="Z349" s="209"/>
      <c r="AA349" s="209"/>
      <c r="AB349" s="209"/>
      <c r="AC349" s="209"/>
      <c r="AD349" s="209"/>
      <c r="AE349" s="209"/>
      <c r="AF349" s="209"/>
      <c r="AG349" s="209"/>
      <c r="AH349" s="209"/>
      <c r="AI349" s="209"/>
      <c r="AJ349" s="209"/>
      <c r="AK349" s="209"/>
      <c r="AL349" s="209"/>
      <c r="AM349" s="209"/>
      <c r="AN349" s="209"/>
      <c r="AO349" s="209"/>
      <c r="AP349" s="209"/>
    </row>
    <row r="350" spans="1:42" ht="15.75" customHeight="1">
      <c r="A350" s="209"/>
      <c r="B350" s="209"/>
      <c r="C350" s="209"/>
      <c r="D350" s="209"/>
      <c r="E350" s="209"/>
      <c r="F350" s="209"/>
      <c r="G350" s="209"/>
      <c r="H350" s="296"/>
      <c r="I350" s="296"/>
      <c r="J350" s="296"/>
      <c r="K350" s="296"/>
      <c r="L350" s="296"/>
      <c r="M350" s="296"/>
      <c r="N350" s="209"/>
      <c r="O350" s="209"/>
      <c r="P350" s="209"/>
      <c r="Q350" s="209"/>
      <c r="R350" s="209"/>
      <c r="S350" s="209"/>
      <c r="T350" s="209"/>
      <c r="U350" s="209"/>
      <c r="V350" s="209"/>
      <c r="W350" s="209"/>
      <c r="X350" s="209"/>
      <c r="Y350" s="209"/>
      <c r="Z350" s="209"/>
      <c r="AA350" s="209"/>
      <c r="AB350" s="209"/>
      <c r="AC350" s="209"/>
      <c r="AD350" s="209"/>
      <c r="AE350" s="209"/>
      <c r="AF350" s="209"/>
      <c r="AG350" s="209"/>
      <c r="AH350" s="209"/>
      <c r="AI350" s="209"/>
      <c r="AJ350" s="209"/>
      <c r="AK350" s="209"/>
      <c r="AL350" s="209"/>
      <c r="AM350" s="209"/>
      <c r="AN350" s="209"/>
      <c r="AO350" s="209"/>
      <c r="AP350" s="209"/>
    </row>
    <row r="351" spans="1:42" ht="15.75" customHeight="1">
      <c r="A351" s="209"/>
      <c r="B351" s="209"/>
      <c r="C351" s="209"/>
      <c r="D351" s="209"/>
      <c r="E351" s="209"/>
      <c r="F351" s="209"/>
      <c r="G351" s="209"/>
      <c r="H351" s="296"/>
      <c r="I351" s="296"/>
      <c r="J351" s="296"/>
      <c r="K351" s="296"/>
      <c r="L351" s="296"/>
      <c r="M351" s="296"/>
      <c r="N351" s="209"/>
      <c r="O351" s="209"/>
      <c r="P351" s="209"/>
      <c r="Q351" s="209"/>
      <c r="R351" s="209"/>
      <c r="S351" s="209"/>
      <c r="T351" s="209"/>
      <c r="U351" s="209"/>
      <c r="V351" s="209"/>
      <c r="W351" s="209"/>
      <c r="X351" s="209"/>
      <c r="Y351" s="209"/>
      <c r="Z351" s="209"/>
      <c r="AA351" s="209"/>
      <c r="AB351" s="209"/>
      <c r="AC351" s="209"/>
      <c r="AD351" s="209"/>
      <c r="AE351" s="209"/>
      <c r="AF351" s="209"/>
      <c r="AG351" s="209"/>
      <c r="AH351" s="209"/>
      <c r="AI351" s="209"/>
      <c r="AJ351" s="209"/>
      <c r="AK351" s="209"/>
      <c r="AL351" s="209"/>
      <c r="AM351" s="209"/>
      <c r="AN351" s="209"/>
      <c r="AO351" s="209"/>
      <c r="AP351" s="209"/>
    </row>
    <row r="352" spans="1:42" ht="15.75" customHeight="1">
      <c r="A352" s="209"/>
      <c r="B352" s="209"/>
      <c r="C352" s="209"/>
      <c r="D352" s="209"/>
      <c r="E352" s="209"/>
      <c r="F352" s="209"/>
      <c r="G352" s="209"/>
      <c r="H352" s="296"/>
      <c r="I352" s="296"/>
      <c r="J352" s="296"/>
      <c r="K352" s="296"/>
      <c r="L352" s="296"/>
      <c r="M352" s="296"/>
      <c r="N352" s="209"/>
      <c r="O352" s="209"/>
      <c r="P352" s="209"/>
      <c r="Q352" s="209"/>
      <c r="R352" s="209"/>
      <c r="S352" s="209"/>
      <c r="T352" s="209"/>
      <c r="U352" s="209"/>
      <c r="V352" s="209"/>
      <c r="W352" s="209"/>
      <c r="X352" s="209"/>
      <c r="Y352" s="209"/>
      <c r="Z352" s="209"/>
      <c r="AA352" s="209"/>
      <c r="AB352" s="209"/>
      <c r="AC352" s="209"/>
      <c r="AD352" s="209"/>
      <c r="AE352" s="209"/>
      <c r="AF352" s="209"/>
      <c r="AG352" s="209"/>
      <c r="AH352" s="209"/>
      <c r="AI352" s="209"/>
      <c r="AJ352" s="209"/>
      <c r="AK352" s="209"/>
      <c r="AL352" s="209"/>
      <c r="AM352" s="209"/>
      <c r="AN352" s="209"/>
      <c r="AO352" s="209"/>
      <c r="AP352" s="209"/>
    </row>
    <row r="353" spans="1:42" ht="15.75" customHeight="1">
      <c r="A353" s="209"/>
      <c r="B353" s="209"/>
      <c r="C353" s="209"/>
      <c r="D353" s="209"/>
      <c r="E353" s="209"/>
      <c r="F353" s="209"/>
      <c r="G353" s="209"/>
      <c r="H353" s="296"/>
      <c r="I353" s="296"/>
      <c r="J353" s="296"/>
      <c r="K353" s="296"/>
      <c r="L353" s="296"/>
      <c r="M353" s="296"/>
      <c r="N353" s="209"/>
      <c r="O353" s="209"/>
      <c r="P353" s="209"/>
      <c r="Q353" s="209"/>
      <c r="R353" s="209"/>
      <c r="S353" s="209"/>
      <c r="T353" s="209"/>
      <c r="U353" s="209"/>
      <c r="V353" s="209"/>
      <c r="W353" s="209"/>
      <c r="X353" s="209"/>
      <c r="Y353" s="209"/>
      <c r="Z353" s="209"/>
      <c r="AA353" s="209"/>
      <c r="AB353" s="209"/>
      <c r="AC353" s="209"/>
      <c r="AD353" s="209"/>
      <c r="AE353" s="209"/>
      <c r="AF353" s="209"/>
      <c r="AG353" s="209"/>
      <c r="AH353" s="209"/>
      <c r="AI353" s="209"/>
      <c r="AJ353" s="209"/>
      <c r="AK353" s="209"/>
      <c r="AL353" s="209"/>
      <c r="AM353" s="209"/>
      <c r="AN353" s="209"/>
      <c r="AO353" s="209"/>
      <c r="AP353" s="209"/>
    </row>
    <row r="354" spans="1:42" ht="15.75" customHeight="1">
      <c r="A354" s="209"/>
      <c r="B354" s="209"/>
      <c r="C354" s="209"/>
      <c r="D354" s="209"/>
      <c r="E354" s="209"/>
      <c r="F354" s="209"/>
      <c r="G354" s="209"/>
      <c r="H354" s="296"/>
      <c r="I354" s="296"/>
      <c r="J354" s="296"/>
      <c r="K354" s="296"/>
      <c r="L354" s="296"/>
      <c r="M354" s="296"/>
      <c r="N354" s="209"/>
      <c r="O354" s="209"/>
      <c r="P354" s="209"/>
      <c r="Q354" s="209"/>
      <c r="R354" s="209"/>
      <c r="S354" s="209"/>
      <c r="T354" s="209"/>
      <c r="U354" s="209"/>
      <c r="V354" s="209"/>
      <c r="W354" s="209"/>
      <c r="X354" s="209"/>
      <c r="Y354" s="209"/>
      <c r="Z354" s="209"/>
      <c r="AA354" s="209"/>
      <c r="AB354" s="209"/>
      <c r="AC354" s="209"/>
      <c r="AD354" s="209"/>
      <c r="AE354" s="209"/>
      <c r="AF354" s="209"/>
      <c r="AG354" s="209"/>
      <c r="AH354" s="209"/>
      <c r="AI354" s="209"/>
      <c r="AJ354" s="209"/>
      <c r="AK354" s="209"/>
      <c r="AL354" s="209"/>
      <c r="AM354" s="209"/>
      <c r="AN354" s="209"/>
      <c r="AO354" s="209"/>
      <c r="AP354" s="209"/>
    </row>
    <row r="355" spans="1:42" ht="15.75" customHeight="1">
      <c r="A355" s="209"/>
      <c r="B355" s="209"/>
      <c r="C355" s="209"/>
      <c r="D355" s="209"/>
      <c r="E355" s="209"/>
      <c r="F355" s="209"/>
      <c r="G355" s="209"/>
      <c r="H355" s="296"/>
      <c r="I355" s="296"/>
      <c r="J355" s="296"/>
      <c r="K355" s="296"/>
      <c r="L355" s="296"/>
      <c r="M355" s="296"/>
      <c r="N355" s="209"/>
      <c r="O355" s="209"/>
      <c r="P355" s="209"/>
      <c r="Q355" s="209"/>
      <c r="R355" s="209"/>
      <c r="S355" s="209"/>
      <c r="T355" s="209"/>
      <c r="U355" s="209"/>
      <c r="V355" s="209"/>
      <c r="W355" s="209"/>
      <c r="X355" s="209"/>
      <c r="Y355" s="209"/>
      <c r="Z355" s="209"/>
      <c r="AA355" s="209"/>
      <c r="AB355" s="209"/>
      <c r="AC355" s="209"/>
      <c r="AD355" s="209"/>
      <c r="AE355" s="209"/>
      <c r="AF355" s="209"/>
      <c r="AG355" s="209"/>
      <c r="AH355" s="209"/>
      <c r="AI355" s="209"/>
      <c r="AJ355" s="209"/>
      <c r="AK355" s="209"/>
      <c r="AL355" s="209"/>
      <c r="AM355" s="209"/>
      <c r="AN355" s="209"/>
      <c r="AO355" s="209"/>
      <c r="AP355" s="209"/>
    </row>
  </sheetData>
  <mergeCells count="238">
    <mergeCell ref="AH16:AI16"/>
    <mergeCell ref="P16:Q16"/>
    <mergeCell ref="R16:S16"/>
    <mergeCell ref="T16:U16"/>
    <mergeCell ref="V16:W16"/>
    <mergeCell ref="X16:Y16"/>
    <mergeCell ref="Z16:AA16"/>
    <mergeCell ref="D16:E16"/>
    <mergeCell ref="F16:G16"/>
    <mergeCell ref="H16:I16"/>
    <mergeCell ref="J16:K16"/>
    <mergeCell ref="L16:M16"/>
    <mergeCell ref="N16:O16"/>
    <mergeCell ref="AB16:AC16"/>
    <mergeCell ref="AD16:AE16"/>
    <mergeCell ref="AF16:AG16"/>
    <mergeCell ref="T14:U14"/>
    <mergeCell ref="AH14:AI14"/>
    <mergeCell ref="J15:K15"/>
    <mergeCell ref="L15:M15"/>
    <mergeCell ref="N15:O15"/>
    <mergeCell ref="P15:Q15"/>
    <mergeCell ref="R15:S15"/>
    <mergeCell ref="T15:U15"/>
    <mergeCell ref="V15:W15"/>
    <mergeCell ref="X15:Y15"/>
    <mergeCell ref="Z15:AA15"/>
    <mergeCell ref="V14:W14"/>
    <mergeCell ref="X14:Y14"/>
    <mergeCell ref="Z14:AA14"/>
    <mergeCell ref="AB14:AC14"/>
    <mergeCell ref="AD14:AE14"/>
    <mergeCell ref="AF14:AG14"/>
    <mergeCell ref="AB15:AC15"/>
    <mergeCell ref="AD15:AE15"/>
    <mergeCell ref="AF15:AG15"/>
    <mergeCell ref="AH15:AI15"/>
    <mergeCell ref="D12:E12"/>
    <mergeCell ref="D14:E14"/>
    <mergeCell ref="F14:G14"/>
    <mergeCell ref="H14:I14"/>
    <mergeCell ref="J14:K14"/>
    <mergeCell ref="L14:M14"/>
    <mergeCell ref="N14:O14"/>
    <mergeCell ref="P14:Q14"/>
    <mergeCell ref="R14:S14"/>
    <mergeCell ref="D13:E13"/>
    <mergeCell ref="F13:G13"/>
    <mergeCell ref="H13:I13"/>
    <mergeCell ref="J13:K13"/>
    <mergeCell ref="L13:M13"/>
    <mergeCell ref="N13:O13"/>
    <mergeCell ref="P13:Q13"/>
    <mergeCell ref="R13:S13"/>
    <mergeCell ref="X12:Y12"/>
    <mergeCell ref="Z12:AA12"/>
    <mergeCell ref="AB12:AC12"/>
    <mergeCell ref="AD12:AE12"/>
    <mergeCell ref="AF12:AG12"/>
    <mergeCell ref="AH13:AI13"/>
    <mergeCell ref="V13:W13"/>
    <mergeCell ref="X13:Y13"/>
    <mergeCell ref="Z13:AA13"/>
    <mergeCell ref="AB13:AC13"/>
    <mergeCell ref="AD13:AE13"/>
    <mergeCell ref="AF13:AG13"/>
    <mergeCell ref="AH12:AI12"/>
    <mergeCell ref="V12:W12"/>
    <mergeCell ref="T13:U13"/>
    <mergeCell ref="F12:G12"/>
    <mergeCell ref="H12:I12"/>
    <mergeCell ref="J12:K12"/>
    <mergeCell ref="L12:M12"/>
    <mergeCell ref="N12:O12"/>
    <mergeCell ref="P12:Q12"/>
    <mergeCell ref="R12:S12"/>
    <mergeCell ref="T12:U12"/>
    <mergeCell ref="AH10:AI10"/>
    <mergeCell ref="V10:W10"/>
    <mergeCell ref="X10:Y10"/>
    <mergeCell ref="Z10:AA10"/>
    <mergeCell ref="AB10:AC10"/>
    <mergeCell ref="AD10:AE10"/>
    <mergeCell ref="AF10:AG10"/>
    <mergeCell ref="AH11:AI11"/>
    <mergeCell ref="V11:W11"/>
    <mergeCell ref="X11:Y11"/>
    <mergeCell ref="Z11:AA11"/>
    <mergeCell ref="AB11:AC11"/>
    <mergeCell ref="AD11:AE11"/>
    <mergeCell ref="AF11:AG11"/>
    <mergeCell ref="T10:U10"/>
    <mergeCell ref="D11:E11"/>
    <mergeCell ref="F11:G11"/>
    <mergeCell ref="H11:I11"/>
    <mergeCell ref="J11:K11"/>
    <mergeCell ref="L11:M11"/>
    <mergeCell ref="N11:O11"/>
    <mergeCell ref="P11:Q11"/>
    <mergeCell ref="R11:S11"/>
    <mergeCell ref="T11:U11"/>
    <mergeCell ref="D8:E8"/>
    <mergeCell ref="D10:E10"/>
    <mergeCell ref="F10:G10"/>
    <mergeCell ref="H10:I10"/>
    <mergeCell ref="J10:K10"/>
    <mergeCell ref="L10:M10"/>
    <mergeCell ref="N10:O10"/>
    <mergeCell ref="P10:Q10"/>
    <mergeCell ref="R10:S10"/>
    <mergeCell ref="D9:E9"/>
    <mergeCell ref="F9:G9"/>
    <mergeCell ref="H9:I9"/>
    <mergeCell ref="J9:K9"/>
    <mergeCell ref="L9:M9"/>
    <mergeCell ref="N9:O9"/>
    <mergeCell ref="P9:Q9"/>
    <mergeCell ref="R9:S9"/>
    <mergeCell ref="X8:Y8"/>
    <mergeCell ref="Z8:AA8"/>
    <mergeCell ref="AB8:AC8"/>
    <mergeCell ref="AD8:AE8"/>
    <mergeCell ref="AF8:AG8"/>
    <mergeCell ref="AH9:AI9"/>
    <mergeCell ref="V9:W9"/>
    <mergeCell ref="X9:Y9"/>
    <mergeCell ref="Z9:AA9"/>
    <mergeCell ref="AB9:AC9"/>
    <mergeCell ref="AD9:AE9"/>
    <mergeCell ref="AF9:AG9"/>
    <mergeCell ref="AH8:AI8"/>
    <mergeCell ref="V8:W8"/>
    <mergeCell ref="T9:U9"/>
    <mergeCell ref="F8:G8"/>
    <mergeCell ref="H8:I8"/>
    <mergeCell ref="J8:K8"/>
    <mergeCell ref="L8:M8"/>
    <mergeCell ref="N8:O8"/>
    <mergeCell ref="P8:Q8"/>
    <mergeCell ref="R8:S8"/>
    <mergeCell ref="T8:U8"/>
    <mergeCell ref="AH6:AI6"/>
    <mergeCell ref="V6:W6"/>
    <mergeCell ref="X6:Y6"/>
    <mergeCell ref="Z6:AA6"/>
    <mergeCell ref="AB6:AC6"/>
    <mergeCell ref="AD6:AE6"/>
    <mergeCell ref="AF6:AG6"/>
    <mergeCell ref="AH7:AI7"/>
    <mergeCell ref="V7:W7"/>
    <mergeCell ref="X7:Y7"/>
    <mergeCell ref="Z7:AA7"/>
    <mergeCell ref="AB7:AC7"/>
    <mergeCell ref="AD7:AE7"/>
    <mergeCell ref="AF7:AG7"/>
    <mergeCell ref="D7:E7"/>
    <mergeCell ref="F7:G7"/>
    <mergeCell ref="H7:I7"/>
    <mergeCell ref="J7:K7"/>
    <mergeCell ref="L7:M7"/>
    <mergeCell ref="N7:O7"/>
    <mergeCell ref="P7:Q7"/>
    <mergeCell ref="R7:S7"/>
    <mergeCell ref="T7:U7"/>
    <mergeCell ref="D6:E6"/>
    <mergeCell ref="F6:G6"/>
    <mergeCell ref="H6:I6"/>
    <mergeCell ref="J6:K6"/>
    <mergeCell ref="L6:M6"/>
    <mergeCell ref="N6:O6"/>
    <mergeCell ref="P6:Q6"/>
    <mergeCell ref="R6:S6"/>
    <mergeCell ref="T6:U6"/>
    <mergeCell ref="AF4:AG4"/>
    <mergeCell ref="D5:E5"/>
    <mergeCell ref="F5:G5"/>
    <mergeCell ref="H5:I5"/>
    <mergeCell ref="J5:K5"/>
    <mergeCell ref="L5:M5"/>
    <mergeCell ref="N5:O5"/>
    <mergeCell ref="P5:Q5"/>
    <mergeCell ref="R5:S5"/>
    <mergeCell ref="R4:S4"/>
    <mergeCell ref="T4:U4"/>
    <mergeCell ref="V4:W4"/>
    <mergeCell ref="X4:Y4"/>
    <mergeCell ref="Z4:AA4"/>
    <mergeCell ref="AB4:AC4"/>
    <mergeCell ref="AF5:AG5"/>
    <mergeCell ref="T5:U5"/>
    <mergeCell ref="V5:W5"/>
    <mergeCell ref="X5:Y5"/>
    <mergeCell ref="Z5:AA5"/>
    <mergeCell ref="AB5:AC5"/>
    <mergeCell ref="AD5:AE5"/>
    <mergeCell ref="D4:E4"/>
    <mergeCell ref="F4:G4"/>
    <mergeCell ref="H4:I4"/>
    <mergeCell ref="J4:K4"/>
    <mergeCell ref="L4:M4"/>
    <mergeCell ref="N4:O4"/>
    <mergeCell ref="P4:Q4"/>
    <mergeCell ref="R3:S3"/>
    <mergeCell ref="T3:U3"/>
    <mergeCell ref="AD2:AE2"/>
    <mergeCell ref="AD4:AE4"/>
    <mergeCell ref="AF2:AG2"/>
    <mergeCell ref="AH2:AI2"/>
    <mergeCell ref="D3:E3"/>
    <mergeCell ref="F3:G3"/>
    <mergeCell ref="H3:I3"/>
    <mergeCell ref="J3:K3"/>
    <mergeCell ref="L3:M3"/>
    <mergeCell ref="N3:O3"/>
    <mergeCell ref="P3:Q3"/>
    <mergeCell ref="R2:S2"/>
    <mergeCell ref="T2:U2"/>
    <mergeCell ref="V2:W2"/>
    <mergeCell ref="X2:Y2"/>
    <mergeCell ref="Z2:AA2"/>
    <mergeCell ref="AB2:AC2"/>
    <mergeCell ref="AD3:AE3"/>
    <mergeCell ref="AF3:AG3"/>
    <mergeCell ref="AH3:AI3"/>
    <mergeCell ref="V3:W3"/>
    <mergeCell ref="X3:Y3"/>
    <mergeCell ref="Z3:AA3"/>
    <mergeCell ref="AB3:AC3"/>
    <mergeCell ref="T1:U1"/>
    <mergeCell ref="V1:W1"/>
    <mergeCell ref="AB1:AC1"/>
    <mergeCell ref="D2:E2"/>
    <mergeCell ref="F2:G2"/>
    <mergeCell ref="H2:I2"/>
    <mergeCell ref="J2:K2"/>
    <mergeCell ref="L2:M2"/>
    <mergeCell ref="N2:O2"/>
    <mergeCell ref="P2:Q2"/>
  </mergeCells>
  <conditionalFormatting sqref="C151">
    <cfRule type="cellIs" dxfId="1057" priority="198" operator="lessThan">
      <formula>0</formula>
    </cfRule>
  </conditionalFormatting>
  <conditionalFormatting sqref="B151">
    <cfRule type="cellIs" dxfId="1056" priority="199" operator="lessThan">
      <formula>0</formula>
    </cfRule>
  </conditionalFormatting>
  <conditionalFormatting sqref="A151">
    <cfRule type="cellIs" dxfId="1055" priority="200" operator="lessThan">
      <formula>0</formula>
    </cfRule>
  </conditionalFormatting>
  <conditionalFormatting sqref="F93:J99 L93:L99 N93:N99 P93:P99 R93:R99 T93:V99 X93:X99 Z93:Z99 AB93:AF99 H102 L102 N102 P102">
    <cfRule type="cellIs" dxfId="1054" priority="201" operator="lessThan">
      <formula>0</formula>
    </cfRule>
  </conditionalFormatting>
  <conditionalFormatting sqref="F19:J27 L19:L27 N19:N27 P19:P27 R19:R27 T19:V27 X19:X27 Z19:Z27 AB19:AF27">
    <cfRule type="cellIs" dxfId="1053" priority="202" operator="lessThan">
      <formula>0</formula>
    </cfRule>
  </conditionalFormatting>
  <conditionalFormatting sqref="F25:J25 L25 N25 P25 R25 T25:V25 X25 Z25 AB25:AF25">
    <cfRule type="cellIs" dxfId="1052" priority="203" operator="lessThan">
      <formula>0</formula>
    </cfRule>
  </conditionalFormatting>
  <conditionalFormatting sqref="F43:J51 L43:L51 N43:N51 P43:P51 R43:R51 T43:V51 X43:X51 Z43:Z51 AB43:AF51 Y49:Y51 AA49:AA51 AG49:AH51">
    <cfRule type="cellIs" dxfId="1051" priority="204" operator="lessThan">
      <formula>0</formula>
    </cfRule>
  </conditionalFormatting>
  <conditionalFormatting sqref="F40:J41 L40:L41 N40:N41 P40:P41 R40:R41 T40:V41 X40:AH41">
    <cfRule type="cellIs" dxfId="1050" priority="205" operator="lessThan">
      <formula>0</formula>
    </cfRule>
  </conditionalFormatting>
  <conditionalFormatting sqref="F52:J52 L52 N52 P52 R52 T52:V52 X52 Z52 AB52:AF52">
    <cfRule type="cellIs" dxfId="1049" priority="206" operator="lessThan">
      <formula>0</formula>
    </cfRule>
  </conditionalFormatting>
  <conditionalFormatting sqref="F70:AO70">
    <cfRule type="cellIs" dxfId="1048" priority="207" operator="lessThan">
      <formula>0</formula>
    </cfRule>
  </conditionalFormatting>
  <conditionalFormatting sqref="F30:J39 L30:L39 N30:N39 P30:P39 R30:R39 T30:V39 X30:X39 Z30:Z39 AB30:AF39 Y36:Y39 AA36:AA39 AG36:AH39">
    <cfRule type="cellIs" dxfId="1047" priority="208" operator="lessThan">
      <formula>0</formula>
    </cfRule>
  </conditionalFormatting>
  <conditionalFormatting sqref="F20:J27 L20:L27 N20:N27 P20:P27 R20:R27 T20:T27 U20:U24 V20:V27 X20:X27 Z20:Z27 AB20:AB27 AC20:AC24 AD20:AD27 AE20:AE24 AF20:AF27 U26:U27 AC26:AC27 AE26:AE27 F46:J51 L46:L51 N46:N51 P46:P51 R46:R51 T46:V51 X46:X51 Z46:Z51 AB46:AF51 Y49:Y51 AA49:AA51 AG49:AH51 F53:J56 L53:L56 N53:N56 P53:P56 R53:R56 T53:V56 X53:X56 Z53:Z56 AB53:AF56 K56 M56 O56 Q56 S56 W56 Y56 AA56 AG56 F60:J60 L60 N60 P60 R60 T60:V60 X60 Z60 AB60:AF60 F64:AG64 F66:J66 L66 N66 P66 R66 T66:V66 X66 Z66 AB66:AF66 F71:J76 L71:L76 N71:N76 P71:P76 R71:R76 T71:T76 U71:U74 V71:V76 X71:X76 Z71:Z76 AB71:AB76 AC71:AC74 AD71:AD76 AE71:AE74 AF71:AF76 U76 AC76 AE76 F78:J78 L78 N78 P78 R78 T78:V78 X78 Z78 AB78:AF78 F80:J83 L80:L83 N80:N83 P80:P83 R80:R83 T80:V83 X80:X83 Z80:Z83 AB80:AF83 F85:J87 L85:L87 N85:N87 P85:P87 R85:R87 T85:V87 X85:X87 Z85:Z87 AB85:AF87 F89:J89 L89 N89 P89 R89 T89:V89 X89 Z89 AB89:AF89 F92:G101 H92:H104 I92:J101 L92:L104 N92:N104 P92:P104 R92:R101 T92:V101 X92:X101 Z92:Z101 AB92:AF101 F103:G104 I103:J104 R103:R104 T103:V104 X103:X104 Z103:Z104 AB103:AF104 F108:J110 L108:L110 N108:N110 P108:P110 R108:R110 T108:V110 X108:X110 Z108:Z110 AB108:AF110 F112:J115 L112:L115 N112:N115 P112:P115 R112:R115 T112:V115 X112:X115 Z112:Z115 AB112:AF115 F117:J125 L117:L125 N117:N125 P117:P125 R117:R125 T117:V125 X117:X125 Z117:Z125 AB117:AF125 F129:I135 J129:J130 L129:L130 N129:N130 P129:P130 R129:R130 T129:T130 U129 V129:V130 X129:X130 Z129:Z130 AB129:AB130 AC129 AD129:AD130 AE129 AF129:AF130 J134:AG135 F143:J143 L143 N143 P143 R143 T143:V143 X143 Z143 AB143:AF143">
    <cfRule type="cellIs" dxfId="1046" priority="209" operator="lessThan">
      <formula>0</formula>
    </cfRule>
  </conditionalFormatting>
  <conditionalFormatting sqref="F53:J56 L53:L56 N53:N56 P53:P56 R53:R56 T53:V56 X53:X56 Z53:Z56 AB53:AF56 K56 M56 O56 Q56 S56 W56 Y56 AA56 AG56 F60:J60 L60 N60 P60 R60 T60:V60 X60 Z60 AB60:AF60 F64:AG64">
    <cfRule type="cellIs" dxfId="1045" priority="210" operator="lessThan">
      <formula>0</formula>
    </cfRule>
  </conditionalFormatting>
  <conditionalFormatting sqref="F49:J49 L49 N49 P49 R49 T49:V49 X49:AH49">
    <cfRule type="cellIs" dxfId="1044" priority="211" operator="lessThan">
      <formula>0</formula>
    </cfRule>
  </conditionalFormatting>
  <conditionalFormatting sqref="F142:J142 L142 N142 P142">
    <cfRule type="cellIs" dxfId="1043" priority="212" operator="lessThan">
      <formula>0</formula>
    </cfRule>
  </conditionalFormatting>
  <conditionalFormatting sqref="F28:J28 L28 N28 P28 R28 T28:V28 X28 Z28 AB28:AF28 AH28">
    <cfRule type="cellIs" dxfId="1042" priority="213" operator="lessThan">
      <formula>0</formula>
    </cfRule>
  </conditionalFormatting>
  <conditionalFormatting sqref="F29:J39">
    <cfRule type="cellIs" dxfId="1041" priority="214" operator="lessThan">
      <formula>0</formula>
    </cfRule>
  </conditionalFormatting>
  <conditionalFormatting sqref="F18:K18 F20:J27 L20:L27 N20:N27 P20:P27 R20:R27 T20:T27 V20:V27 X20:X27 Z20:Z27 AB20:AB27 AD20:AD27 AF20:AF27 F42:J42 F54:J56 L55 N55 P55 R55 T55 V55 X55 Z55 AB55 AD55 AF55 F60:J60 F64:J64 L64 N64 P64 R64 T64 V64 X64 Z64 AB64 AD64 AF64 F66:J68 L66:L68 N66:N68 P66:P68 R66:R68 T66:T68 V66:V68 X66:X68 Z66:Z68 AB66:AB68 AD66:AD68 AF66:AF68 F89:J89 L89 N89 P89 F92:J93 F97:J101 F104:J104 F108:J108 F110:J110 L110 N110 P110 R110 T110 V110 X110 Z110 AB110 AD110 AF110 F129:I135 J129:J130 L130 N130 P130 R130 T130 V130 X130 Z130 AB130 AD130 AF130 J132:J135 L132:L135 N132:N135 P132:P135 R132:R135 T132:T135 V132:V135 X132:X135 Z132:Z135 AB132:AB135 AD132:AD135 AF132:AF135 F143:J143">
    <cfRule type="cellIs" dxfId="1040" priority="215" operator="lessThan">
      <formula>0</formula>
    </cfRule>
  </conditionalFormatting>
  <conditionalFormatting sqref="F54:J56 L55 N55 P55 R55 T55 V55 X55 Z55 AB55 AD55 AF55 F60:J60 F64:J64 L64 N64 P64 R64 T64 V64 X64 Z64 AB64 AD64 AF64">
    <cfRule type="cellIs" dxfId="1039" priority="216" operator="lessThan">
      <formula>0</formula>
    </cfRule>
  </conditionalFormatting>
  <conditionalFormatting sqref="F19:J27 L19:L27 N19:N27 P19:P27 R19:R27 T19:T27 V19:V27 X19:X27 Z19:Z27 AB19:AB27 AD19:AD27 AF19:AF27">
    <cfRule type="cellIs" dxfId="1038" priority="217" operator="lessThan">
      <formula>0</formula>
    </cfRule>
  </conditionalFormatting>
  <conditionalFormatting sqref="L29:L39 H30:H39">
    <cfRule type="cellIs" dxfId="1037" priority="218" operator="lessThan">
      <formula>0</formula>
    </cfRule>
  </conditionalFormatting>
  <conditionalFormatting sqref="L18:M18 H20:H24 L20:L24 N20:N24 P20:P24 R20:R24 T20:T24 V20:V24 X20:X24 Z20:Z24 AB20:AB24 AD20:AD24 AF20:AF24 H26:H27 L26:L27 N26:N27 P26:P27 R26:R27 T26:T27 V26:V27 X26:X27 Z26:Z27 AB26:AB27 AD26:AD27 AF26:AF27 L42 H54:H56 L54:L56 H60 L60 H64 L64 H66:H68 L66:L68 H89 L89 H92:H93 L92:L93 H97:H102 L97:L102 H104 L104 H108 L108 H110 L110 H129:H135 L129:L130 F130:F135 L132:L135 H143 L143">
    <cfRule type="cellIs" dxfId="1036" priority="219" operator="lessThan">
      <formula>0</formula>
    </cfRule>
  </conditionalFormatting>
  <conditionalFormatting sqref="H54:H56 L54:L56 H60 L60 H64 L64">
    <cfRule type="cellIs" dxfId="1035" priority="220" operator="lessThan">
      <formula>0</formula>
    </cfRule>
  </conditionalFormatting>
  <conditionalFormatting sqref="H19:H27 L19:L27 N19:N27 P19:P27 R19:R27 T19:T27 V19:V27 X19:X27 Z19:Z27 AB19:AB27 AD19:AD27 AF19:AF27">
    <cfRule type="cellIs" dxfId="1034" priority="221" operator="lessThan">
      <formula>0</formula>
    </cfRule>
  </conditionalFormatting>
  <conditionalFormatting sqref="N29:N39">
    <cfRule type="cellIs" dxfId="1033" priority="222" operator="lessThan">
      <formula>0</formula>
    </cfRule>
  </conditionalFormatting>
  <conditionalFormatting sqref="N18:O18 N20:N24 P20:P24 R20:R24 T20:T24 V20:V24 X20:X24 Z20:Z24 AB20:AB24 AD20:AD24 AF20:AF24 N26:N27 P26:P27 R26:R27 T26:T27 V26:V27 X26:X27 Z26:Z27 AB26:AB27 AD26:AD27 AF26:AF27 N42 N54:N56 P55 R55 T55 V55 X55 Z55 AB55 AD55 AF55 N60 N64 N66:N68 N89 N92:N93 N97:N102 N104 N108 N110 N129:N130 P130 R130 T130 V130 X130 Z130 AB130 AD130 AF130 N132:N135 N143">
    <cfRule type="cellIs" dxfId="1032" priority="223" operator="lessThan">
      <formula>0</formula>
    </cfRule>
  </conditionalFormatting>
  <conditionalFormatting sqref="N54:N56 P55 R55 T55 V55 X55 Z55 AB55 AD55 AF55 N60 N64">
    <cfRule type="cellIs" dxfId="1031" priority="224" operator="lessThan">
      <formula>0</formula>
    </cfRule>
  </conditionalFormatting>
  <conditionalFormatting sqref="N19:N24 P19:P24 R19:R24 T19:T24 V19:V24 X19:X24 Z19:Z24 AB19:AB24 AD19:AD24 AF19:AF24 N26:N27 P26:P27 R26:R27 T26:T27 V26:V27 X26:X27 Z26:Z27 AB26:AB27 AD26:AD27 AF26:AF27">
    <cfRule type="cellIs" dxfId="1030" priority="225" operator="lessThan">
      <formula>0</formula>
    </cfRule>
  </conditionalFormatting>
  <conditionalFormatting sqref="P29:P39">
    <cfRule type="cellIs" dxfId="1029" priority="226" operator="lessThan">
      <formula>0</formula>
    </cfRule>
  </conditionalFormatting>
  <conditionalFormatting sqref="P18:Q18 P20:P24 R20:R24 T20:T24 V20:V24 X20:X24 Z20:Z24 AB20:AB24 AD20:AD24 AF20:AF24 P26:P27 R26:R27 T26:T27 V26:V27 X26:X27 Z26:Z27 AB26:AB27 AD26:AD27 AF26:AF27 P42 P54:P56 P60 P64 P66:P68 P89 P92:P93 P97:P102 P104 P108 P110 P129:P130 P132:P135 P143">
    <cfRule type="cellIs" dxfId="1028" priority="227" operator="lessThan">
      <formula>0</formula>
    </cfRule>
  </conditionalFormatting>
  <conditionalFormatting sqref="P54:P56 P60 P64">
    <cfRule type="cellIs" dxfId="1027" priority="228" operator="lessThan">
      <formula>0</formula>
    </cfRule>
  </conditionalFormatting>
  <conditionalFormatting sqref="P19:P24 R19:R27 T19:V27 X19:X27 Z19:Z27 AB19:AF27 P26:P27">
    <cfRule type="cellIs" dxfId="1026" priority="229" operator="lessThan">
      <formula>0</formula>
    </cfRule>
  </conditionalFormatting>
  <conditionalFormatting sqref="R29:R39 AD29:AD39">
    <cfRule type="cellIs" dxfId="1025" priority="230" operator="lessThan">
      <formula>0</formula>
    </cfRule>
  </conditionalFormatting>
  <conditionalFormatting sqref="R18:S18 AD18:AE18 R20:R24 AD20:AD24 R26:R27 AD26:AD27 T27 V27 X27 Z27 AB27 AF27 R42 AD42 R54:R55 AD54:AD55 R60 T60 V60 X60 Z60 AB60 AD60 R64 AD64 R66:R68 AD66:AD68 R89 AD89 R92:R93 T92 V92 X92 Z92 AB92 AD92:AD93 AF92 R97:R101 T97:T101 V97:V101 X97:X101 Z97:Z101 AB97:AB101 AD97:AD101 AF97:AF101 R104 T104 V104 X104 Z104 AB104 AD104 AF104 R108 AD108 R110 AD110 R129:R130 AD129:AD130 R132:R135 AD132:AD135 R143 AD143">
    <cfRule type="cellIs" dxfId="1024" priority="231" operator="lessThan">
      <formula>0</formula>
    </cfRule>
  </conditionalFormatting>
  <conditionalFormatting sqref="R54:R55 AD54:AD55 R60 T60 V60 X60 Z60 AB60 AD60 R64 AD64">
    <cfRule type="cellIs" dxfId="1023" priority="232" operator="lessThan">
      <formula>0</formula>
    </cfRule>
  </conditionalFormatting>
  <conditionalFormatting sqref="R19:R24 AD19:AD24 R26:R27 AD26:AD27 T27 V27 X27 Z27 AB27 AF27">
    <cfRule type="cellIs" dxfId="1022" priority="233" operator="lessThan">
      <formula>0</formula>
    </cfRule>
  </conditionalFormatting>
  <conditionalFormatting sqref="T29:V39 X29:X39 Z29:Z39 AB29:AF39">
    <cfRule type="cellIs" dxfId="1021" priority="234" operator="lessThan">
      <formula>0</formula>
    </cfRule>
  </conditionalFormatting>
  <conditionalFormatting sqref="T18:AG18 T20:V24 X20:X24 Z20:Z24 AB20:AF24 T26:V27 X26:X27 Z26:Z27 AB26:AF27 T42:V42 X42 Z42 AB42:AF42 T54:V56 X54:X56 Z54:Z56 AB54:AF56 T60:V60 X60 Z60 AB60:AF60 T64:V64 X64 Z64 AB64:AF64 T66:V68 X66:X68 Z66:Z68 AB66:AF68 T89:V89 X89 Z89 AB89:AF89 T92:V93 X92:X93 Z92:Z93 AB92:AF93 T97:V101 X97:X101 Z97:Z101 AB97:AF101 T104:V104 X104 Z104 AB104:AF104 T108:V108 X108 Z108 AB108:AF108 T110:V110 X110 Z110 AB110:AF110 T129:V130 X129:X130 Z129:Z130 AB129:AF130 T132:V135 X132:X135 Z132:Z135 AB132:AF135 F134:S135 W134:W135 Y134:Y135 AA134:AA135 AG134:AG135 T143:V143 X143 Z143 AB143:AF143">
    <cfRule type="cellIs" dxfId="1020" priority="235" operator="lessThan">
      <formula>0</formula>
    </cfRule>
  </conditionalFormatting>
  <conditionalFormatting sqref="T54:V56 X54:X56 Z54:Z56 AB54:AF56 T60:V60 X60 Z60 AB60:AF60 T64:V64 X64 Z64 AB64:AF64">
    <cfRule type="cellIs" dxfId="1019" priority="236" operator="lessThan">
      <formula>0</formula>
    </cfRule>
  </conditionalFormatting>
  <conditionalFormatting sqref="T19:V24 X19:X24 Z19:Z24 AB19:AF24 T26:V27 X26:X27 Z26:Z27 AB26:AF27">
    <cfRule type="cellIs" dxfId="1018" priority="237" operator="lessThan">
      <formula>0</formula>
    </cfRule>
  </conditionalFormatting>
  <conditionalFormatting sqref="G65:G66 I65:I66 K65:K66 M65:M66 O65:O66 Q65:Q66 S65:S66 U65:U66 W65:W66 Y65:Y66 AA65:AA66 AC65:AC66 AE65:AE66 AG65:AG66">
    <cfRule type="cellIs" dxfId="1017" priority="238" operator="lessThan">
      <formula>0</formula>
    </cfRule>
  </conditionalFormatting>
  <conditionalFormatting sqref="G65:G66 I65:I66 K65:K66 M65:M66 O65:O66 Q65:Q66 S65:S66 U65:U66 W65:W66 Y65:Y66 AA65:AA66 AC65:AC66 AE65:AE66 AG65:AG66">
    <cfRule type="cellIs" dxfId="1016" priority="239" operator="lessThan">
      <formula>0</formula>
    </cfRule>
  </conditionalFormatting>
  <conditionalFormatting sqref="G71:G73 I71:I73 K71:K73 M71:M73 O71:O73 Q71:Q73 S71:S73 U71:U73 W71:W73 Y71:Y73 AA71:AA73 AC71:AC73 AE71:AE73 AG71:AG73 G75:G76 I75:I76 K75:K76 M75:M76 O75:O76 Q75:Q76 S75:S76 U75:U76 W75:W76 Y75:Y76 AA75:AA76 AC75:AC76 AE75:AE76 AG75:AG76 G78 I78 K78 M78 O78 Q78 S78 U78 W78 Y78 AA78 AC78 AE78 AG78">
    <cfRule type="cellIs" dxfId="1015" priority="240" operator="lessThan">
      <formula>0</formula>
    </cfRule>
  </conditionalFormatting>
  <conditionalFormatting sqref="G71:G73 I71:I73 K71:K73 M71:M73 O71:O73 Q71:Q73 S71:S73 U71:U73 W71:W73 Y71:Y73 AA71:AA73 AC71:AC73 AE71:AE73 AG71:AG73 G75:G76 I75:I76 K75:K76 M75:M76 O75:O76 Q75:Q76 S75:S76 U75:U76 W75:W76 Y75:Y76 AA75:AA76 AC75:AC76 AE75:AE76 AG75:AG76 G78 I78 K78 M78 O78 Q78 S78 U78 W78 Y78 AA78 AC78 AE78 AG78">
    <cfRule type="cellIs" dxfId="1014" priority="241" operator="lessThan">
      <formula>0</formula>
    </cfRule>
  </conditionalFormatting>
  <conditionalFormatting sqref="G81:G83 I81:I83 K81:K83 M81:M83 O81:O83 Q81:Q83 S81:S83 U81:U83 W81:W83 Y81:Y83 AA81:AA83 AC81:AC83 AE81:AE83 AG81:AG83">
    <cfRule type="cellIs" dxfId="1013" priority="242" operator="lessThan">
      <formula>0</formula>
    </cfRule>
  </conditionalFormatting>
  <conditionalFormatting sqref="G81:G83 I81:I83 K81:K83 M81:M83 O81:O83 Q81:Q83 S81:S83 U81:U83 W81:W83 Y81:Y83 AA81:AA83 AC81:AC83 AE81:AE83 AG81:AG83">
    <cfRule type="cellIs" dxfId="1012" priority="243" operator="lessThan">
      <formula>0</formula>
    </cfRule>
  </conditionalFormatting>
  <conditionalFormatting sqref="G89 I89 K89 M89 O89 Q89 S89 U89 W89 Y89 AA89 AC89 AE89 AG89 G93 I93 K93 M93 O93 Q93 S93 U93 W93 Y93 AA93 AC93 AE93 AG93 G95 I95 K95 M95 O95 Q95 S95 U95 W95 Y95 AA95 AC95 AE95 AG95 G97:G99 I97:I99 K97:K99 M97:M99 O97:O99 Q97:Q99 S97:S99 U97:U99 W97:W99 Y97:Y99 AA97:AA99 AC97:AC99 AE97:AE99 AG97:AG99 O102 Q102 G104 I104 K104 M104 O104 Q104 S104 U104 W104 Y104 AA104 AC104 AE104 AG104">
    <cfRule type="cellIs" dxfId="1011" priority="244" operator="lessThan">
      <formula>0</formula>
    </cfRule>
  </conditionalFormatting>
  <conditionalFormatting sqref="G89 I89 K89 M89 O89 Q89 S89 U89 W89 Y89 AA89 AC89 AE89 AG89 G93 I93 K93 M93 O93 Q93 S93 U93 W93 Y93 AA93 AC93 AE93 AG93 G95 I95 K95 M95 O95 Q95 S95 U95 W95 Y95 AA95 AC95 AE95 AG95 G97:G99 I97:I99 K97:K99 M97:M99 O97:O99 Q97:Q99 S97:S99 U97:U99 W97:W99 Y97:Y99 AA97:AA99 AC97:AC99 AE97:AE99 AG97:AG99 O102 Q102 G104 I104 K104 M104 O104 Q104 S104 U104 W104 Y104 AA104 AC104 AE104 AG104">
    <cfRule type="cellIs" dxfId="1010" priority="245" operator="lessThan">
      <formula>0</formula>
    </cfRule>
  </conditionalFormatting>
  <conditionalFormatting sqref="G108 I108 K108 M108 O108 Q108 S108 U108 W108 Y108 AA108 AC108 AE108 AG108 G110 I110 K110 M110 O110 Q110 S110 U110 W110 Y110 AA110 AC110 AE110 AG110 G115 I115 K115 M115 O115 Q115 S115 U115 W115 Y115 AA115 AC115 AE115 AG115 G123:G124 I123:I124 K123:K124 M123:M124 O123:O124 Q123:Q124 S123:S124 U123:U124 W123:W124 Y123:Y124 AA123:AA124 AC123:AC124 AE123:AE124 AG123:AG124">
    <cfRule type="cellIs" dxfId="1009" priority="246" operator="lessThan">
      <formula>0</formula>
    </cfRule>
  </conditionalFormatting>
  <conditionalFormatting sqref="G108 I108 K108 M108 O108 Q108 S108 U108 W108 Y108 AA108 AC108 AE108 AG108 G110 I110 K110 M110 O110 Q110 S110 U110 W110 Y110 AA110 AC110 AE110 AG110 G115 I115 K115 M115 O115 Q115 S115 U115 W115 Y115 AA115 AC115 AE115 AG115 G123:G124 I123:I124 K123:K124 M123:M124 O123:O124 Q123:Q124 S123:S124 U123:U124 W123:W124 Y123:Y124 AA123:AA124 AC123:AC124 AE123:AE124 AG123:AG124">
    <cfRule type="cellIs" dxfId="1008" priority="247" operator="lessThan">
      <formula>0</formula>
    </cfRule>
  </conditionalFormatting>
  <conditionalFormatting sqref="G112:G115 I112:I115 K112:K115 M112:M115 O112:O115 Q112:Q115 S112:S115 U112:U115 W112:W115 Y112:Y115 AA112:AA115 AC112:AC115 AE112:AE115 AG112:AG115 G117:G125 I117:I125 K117:K125 M117:M125 O117:O125 Q117:Q125 S117:S125 U117:U125 W117:W125 Y117:Y125 AA117:AA125 AC117:AC125 AE117:AE125 AG117:AG125">
    <cfRule type="cellIs" dxfId="1007" priority="248" operator="lessThan">
      <formula>0</formula>
    </cfRule>
  </conditionalFormatting>
  <conditionalFormatting sqref="G112:G115 I112:I115 K112:K115 M112:M115 O112:O115 Q112:Q115 S112:S115 U112:U115 W112:W115 Y112:Y115 AA112:AA115 AC112:AC115 AE112:AE115 AG112:AG115 G117:G125 I117:I125 K117:K125 M117:M125 O117:O125 Q117:Q125 S117:S125 U117:U125 W117:W125 Y117:Y125 AA117:AA125 AC117:AC125 AE117:AE125 AG117:AG125">
    <cfRule type="cellIs" dxfId="1006" priority="249" operator="lessThan">
      <formula>0</formula>
    </cfRule>
  </conditionalFormatting>
  <conditionalFormatting sqref="K134:K135 M134:M135 O134:O135 Q134:Q135 S134:S135 U134:U135 W134:W135 Y134:Y135 AA134:AA135 AC134:AC135 AE134:AE135 AG134:AG135 G142:G143 I142:I143 K142:K143 M142:M143 O142:O143 Q142:Q143 S143 U143 W143 Y143 AA143 AC143 AE143 AG143">
    <cfRule type="cellIs" dxfId="1005" priority="250" operator="lessThan">
      <formula>0</formula>
    </cfRule>
  </conditionalFormatting>
  <conditionalFormatting sqref="K134:K135 M134:M135 O134:O135 Q134:Q135 S134:S135 U134:U135 W134:W135 Y134:Y135 AA134:AA135 AC134:AC135 AE134:AE135 AG134:AG135 G142:G143 I142:I143 K142:K143 M142:M143 O142:O143 Q142:Q143 S143 U143 W143 Y143 AA143 AC143 AE143 AG143">
    <cfRule type="cellIs" dxfId="1004" priority="251" operator="lessThan">
      <formula>0</formula>
    </cfRule>
  </conditionalFormatting>
  <conditionalFormatting sqref="G142 I142 K142 M142 O142 Q142">
    <cfRule type="cellIs" dxfId="1003" priority="252" operator="lessThan">
      <formula>0</formula>
    </cfRule>
  </conditionalFormatting>
  <conditionalFormatting sqref="G142 I142 K142 M142 O142 Q142">
    <cfRule type="cellIs" dxfId="1002" priority="253" operator="lessThan">
      <formula>0</formula>
    </cfRule>
  </conditionalFormatting>
  <conditionalFormatting sqref="F25:J25 L25 N25 P25 R25 T25 V25 X25 Z25 AB25 AD25 AF25">
    <cfRule type="cellIs" dxfId="1001" priority="254" operator="lessThan">
      <formula>0</formula>
    </cfRule>
  </conditionalFormatting>
  <conditionalFormatting sqref="H25 L25 N25 P25 R25 T25 V25 X25 Z25 AB25 AD25 AF25">
    <cfRule type="cellIs" dxfId="1000" priority="255" operator="lessThan">
      <formula>0</formula>
    </cfRule>
  </conditionalFormatting>
  <conditionalFormatting sqref="N25 P25 R25 T25 V25 X25 Z25 AB25 AD25 AF25">
    <cfRule type="cellIs" dxfId="999" priority="256" operator="lessThan">
      <formula>0</formula>
    </cfRule>
  </conditionalFormatting>
  <conditionalFormatting sqref="P25 R25 T25 V25 X25 Z25 AB25 AD25 AF25">
    <cfRule type="cellIs" dxfId="998" priority="257" operator="lessThan">
      <formula>0</formula>
    </cfRule>
  </conditionalFormatting>
  <conditionalFormatting sqref="R25 AD25">
    <cfRule type="cellIs" dxfId="997" priority="258" operator="lessThan">
      <formula>0</formula>
    </cfRule>
  </conditionalFormatting>
  <conditionalFormatting sqref="T25:V25 X25 Z25 AB25:AF25">
    <cfRule type="cellIs" dxfId="996" priority="259" operator="lessThan">
      <formula>0</formula>
    </cfRule>
  </conditionalFormatting>
  <conditionalFormatting sqref="F28:J28 L28 N28 P28 R28 T28 V28 X28 Z28 AB28 AD28 AF28 AH28">
    <cfRule type="cellIs" dxfId="995" priority="260" operator="lessThan">
      <formula>0</formula>
    </cfRule>
  </conditionalFormatting>
  <conditionalFormatting sqref="H28 L28 N28 P28 R28 T28 V28 X28 Z28 AB28 AD28 AF28 AH28">
    <cfRule type="cellIs" dxfId="994" priority="261" operator="lessThan">
      <formula>0</formula>
    </cfRule>
  </conditionalFormatting>
  <conditionalFormatting sqref="N28 P28 R28 T28 V28 X28 Z28 AB28 AD28 AF28 AH28">
    <cfRule type="cellIs" dxfId="993" priority="262" operator="lessThan">
      <formula>0</formula>
    </cfRule>
  </conditionalFormatting>
  <conditionalFormatting sqref="P28 R28 T28 V28 X28 Z28 AB28 AD28 AF28 AH28">
    <cfRule type="cellIs" dxfId="992" priority="263" operator="lessThan">
      <formula>0</formula>
    </cfRule>
  </conditionalFormatting>
  <conditionalFormatting sqref="R28 AD28">
    <cfRule type="cellIs" dxfId="991" priority="264" operator="lessThan">
      <formula>0</formula>
    </cfRule>
  </conditionalFormatting>
  <conditionalFormatting sqref="T28:V28 X28 Z28 AB28:AF28 AH28">
    <cfRule type="cellIs" dxfId="990" priority="265" operator="lessThan">
      <formula>0</formula>
    </cfRule>
  </conditionalFormatting>
  <conditionalFormatting sqref="F40:J41">
    <cfRule type="cellIs" dxfId="989" priority="266" operator="lessThan">
      <formula>0</formula>
    </cfRule>
  </conditionalFormatting>
  <conditionalFormatting sqref="H40:H41 L40:L41">
    <cfRule type="cellIs" dxfId="988" priority="267" operator="lessThan">
      <formula>0</formula>
    </cfRule>
  </conditionalFormatting>
  <conditionalFormatting sqref="N40:N41">
    <cfRule type="cellIs" dxfId="987" priority="268" operator="lessThan">
      <formula>0</formula>
    </cfRule>
  </conditionalFormatting>
  <conditionalFormatting sqref="P40:P41">
    <cfRule type="cellIs" dxfId="986" priority="269" operator="lessThan">
      <formula>0</formula>
    </cfRule>
  </conditionalFormatting>
  <conditionalFormatting sqref="R40:R41 AD40:AD41">
    <cfRule type="cellIs" dxfId="985" priority="270" operator="lessThan">
      <formula>0</formula>
    </cfRule>
  </conditionalFormatting>
  <conditionalFormatting sqref="T40:V41 X40:X41 Z40:Z41 AB40:AF41">
    <cfRule type="cellIs" dxfId="984" priority="271" operator="lessThan">
      <formula>0</formula>
    </cfRule>
  </conditionalFormatting>
  <conditionalFormatting sqref="H49:H51 L49:L51 R49:R51 T49:V51 X49:X51 Z49:Z51 AB49:AF51">
    <cfRule type="cellIs" dxfId="983" priority="272" operator="lessThan">
      <formula>0</formula>
    </cfRule>
  </conditionalFormatting>
  <conditionalFormatting sqref="H49 L49 R49 T49:V49 X49 Z49 AB49:AF49">
    <cfRule type="cellIs" dxfId="982" priority="273" operator="lessThan">
      <formula>0</formula>
    </cfRule>
  </conditionalFormatting>
  <conditionalFormatting sqref="N49:N51 T49:V51 X49:AH51">
    <cfRule type="cellIs" dxfId="981" priority="274" operator="lessThan">
      <formula>0</formula>
    </cfRule>
  </conditionalFormatting>
  <conditionalFormatting sqref="N49 T49:V49 X49:AH49">
    <cfRule type="cellIs" dxfId="980" priority="275" operator="lessThan">
      <formula>0</formula>
    </cfRule>
  </conditionalFormatting>
  <conditionalFormatting sqref="G52 K52">
    <cfRule type="cellIs" dxfId="979" priority="276" operator="lessThan">
      <formula>0</formula>
    </cfRule>
  </conditionalFormatting>
  <conditionalFormatting sqref="F43:J46">
    <cfRule type="cellIs" dxfId="978" priority="277" operator="lessThan">
      <formula>0</formula>
    </cfRule>
  </conditionalFormatting>
  <conditionalFormatting sqref="F52:J52">
    <cfRule type="cellIs" dxfId="977" priority="278" operator="lessThan">
      <formula>0</formula>
    </cfRule>
  </conditionalFormatting>
  <conditionalFormatting sqref="F46:J51">
    <cfRule type="cellIs" dxfId="976" priority="279" operator="lessThan">
      <formula>0</formula>
    </cfRule>
  </conditionalFormatting>
  <conditionalFormatting sqref="F49:J49">
    <cfRule type="cellIs" dxfId="975" priority="280" operator="lessThan">
      <formula>0</formula>
    </cfRule>
  </conditionalFormatting>
  <conditionalFormatting sqref="I52 M52">
    <cfRule type="cellIs" dxfId="974" priority="281" operator="lessThan">
      <formula>0</formula>
    </cfRule>
  </conditionalFormatting>
  <conditionalFormatting sqref="H43:H46 L43:L46">
    <cfRule type="cellIs" dxfId="973" priority="282" operator="lessThan">
      <formula>0</formula>
    </cfRule>
  </conditionalFormatting>
  <conditionalFormatting sqref="H52 L52">
    <cfRule type="cellIs" dxfId="972" priority="283" operator="lessThan">
      <formula>0</formula>
    </cfRule>
  </conditionalFormatting>
  <conditionalFormatting sqref="H46:H51 L46:L51">
    <cfRule type="cellIs" dxfId="971" priority="284" operator="lessThan">
      <formula>0</formula>
    </cfRule>
  </conditionalFormatting>
  <conditionalFormatting sqref="H49 L49">
    <cfRule type="cellIs" dxfId="970" priority="285" operator="lessThan">
      <formula>0</formula>
    </cfRule>
  </conditionalFormatting>
  <conditionalFormatting sqref="O52">
    <cfRule type="cellIs" dxfId="969" priority="286" operator="lessThan">
      <formula>0</formula>
    </cfRule>
  </conditionalFormatting>
  <conditionalFormatting sqref="N43:N46">
    <cfRule type="cellIs" dxfId="968" priority="287" operator="lessThan">
      <formula>0</formula>
    </cfRule>
  </conditionalFormatting>
  <conditionalFormatting sqref="N52">
    <cfRule type="cellIs" dxfId="967" priority="288" operator="lessThan">
      <formula>0</formula>
    </cfRule>
  </conditionalFormatting>
  <conditionalFormatting sqref="N46:N51">
    <cfRule type="cellIs" dxfId="966" priority="289" operator="lessThan">
      <formula>0</formula>
    </cfRule>
  </conditionalFormatting>
  <conditionalFormatting sqref="N49">
    <cfRule type="cellIs" dxfId="965" priority="290" operator="lessThan">
      <formula>0</formula>
    </cfRule>
  </conditionalFormatting>
  <conditionalFormatting sqref="Q52">
    <cfRule type="cellIs" dxfId="964" priority="291" operator="lessThan">
      <formula>0</formula>
    </cfRule>
  </conditionalFormatting>
  <conditionalFormatting sqref="P43:P46">
    <cfRule type="cellIs" dxfId="963" priority="292" operator="lessThan">
      <formula>0</formula>
    </cfRule>
  </conditionalFormatting>
  <conditionalFormatting sqref="P52">
    <cfRule type="cellIs" dxfId="962" priority="293" operator="lessThan">
      <formula>0</formula>
    </cfRule>
  </conditionalFormatting>
  <conditionalFormatting sqref="P46:P51">
    <cfRule type="cellIs" dxfId="961" priority="294" operator="lessThan">
      <formula>0</formula>
    </cfRule>
  </conditionalFormatting>
  <conditionalFormatting sqref="P49">
    <cfRule type="cellIs" dxfId="960" priority="295" operator="lessThan">
      <formula>0</formula>
    </cfRule>
  </conditionalFormatting>
  <conditionalFormatting sqref="S52 AE52">
    <cfRule type="cellIs" dxfId="959" priority="296" operator="lessThan">
      <formula>0</formula>
    </cfRule>
  </conditionalFormatting>
  <conditionalFormatting sqref="R43:R46 AD43:AD46">
    <cfRule type="cellIs" dxfId="958" priority="297" operator="lessThan">
      <formula>0</formula>
    </cfRule>
  </conditionalFormatting>
  <conditionalFormatting sqref="R52 AD52">
    <cfRule type="cellIs" dxfId="957" priority="298" operator="lessThan">
      <formula>0</formula>
    </cfRule>
  </conditionalFormatting>
  <conditionalFormatting sqref="R46:R51 AD46:AD51">
    <cfRule type="cellIs" dxfId="956" priority="299" operator="lessThan">
      <formula>0</formula>
    </cfRule>
  </conditionalFormatting>
  <conditionalFormatting sqref="R49 AD49">
    <cfRule type="cellIs" dxfId="955" priority="300" operator="lessThan">
      <formula>0</formula>
    </cfRule>
  </conditionalFormatting>
  <conditionalFormatting sqref="U52 W52 Y52 AA52 AC52 AG52">
    <cfRule type="cellIs" dxfId="954" priority="301" operator="lessThan">
      <formula>0</formula>
    </cfRule>
  </conditionalFormatting>
  <conditionalFormatting sqref="T43:V46 X43:X46 Z43:Z46 AB43:AF46">
    <cfRule type="cellIs" dxfId="953" priority="302" operator="lessThan">
      <formula>0</formula>
    </cfRule>
  </conditionalFormatting>
  <conditionalFormatting sqref="T52:V52 X52 Z52 AB52:AF52">
    <cfRule type="cellIs" dxfId="952" priority="303" operator="lessThan">
      <formula>0</formula>
    </cfRule>
  </conditionalFormatting>
  <conditionalFormatting sqref="T46:V51 X46:X51 Z46:Z51 AB46:AF51">
    <cfRule type="cellIs" dxfId="951" priority="304" operator="lessThan">
      <formula>0</formula>
    </cfRule>
  </conditionalFormatting>
  <conditionalFormatting sqref="T49:V49 X49 Z49 AB49:AF49">
    <cfRule type="cellIs" dxfId="950" priority="305" operator="lessThan">
      <formula>0</formula>
    </cfRule>
  </conditionalFormatting>
  <conditionalFormatting sqref="F73:J77 L73:L77 N73:N77 P73:P77 R73:R77 T73:T77 U73 V73:V77 X73:X77 Z73:Z77 AB73:AB77 AC73 AD73:AD77 AE73 AF73:AF77">
    <cfRule type="cellIs" dxfId="949" priority="306" operator="lessThan">
      <formula>0</formula>
    </cfRule>
  </conditionalFormatting>
  <conditionalFormatting sqref="F70:J70">
    <cfRule type="cellIs" dxfId="948" priority="307" operator="lessThan">
      <formula>0</formula>
    </cfRule>
  </conditionalFormatting>
  <conditionalFormatting sqref="F79:K79">
    <cfRule type="cellIs" dxfId="947" priority="308" operator="lessThan">
      <formula>0</formula>
    </cfRule>
  </conditionalFormatting>
  <conditionalFormatting sqref="F84:K84">
    <cfRule type="cellIs" dxfId="946" priority="309" operator="lessThan">
      <formula>0</formula>
    </cfRule>
  </conditionalFormatting>
  <conditionalFormatting sqref="F88:K88">
    <cfRule type="cellIs" dxfId="945" priority="310" operator="lessThan">
      <formula>0</formula>
    </cfRule>
  </conditionalFormatting>
  <conditionalFormatting sqref="F73:J78 L73:L78 N73:N78 P73:P78 R73:R78 T73:T78 V73:V78 X73:X78 Z73:Z78 AB73:AB78 AD73:AD78 AF73:AF78 F80:J83 L80:L83 N80:N83 P80:P83 R80:R83 T80:T83 V80:V83 X80:X83 Z80:Z83 AB80:AB83 AD80:AD83 AF80:AF83 F85:J87 L85 N85 P85 R85 T85 V85 X85 Z85 AB85 AD85 AF85">
    <cfRule type="cellIs" dxfId="944" priority="311" operator="lessThan">
      <formula>0</formula>
    </cfRule>
  </conditionalFormatting>
  <conditionalFormatting sqref="G71:G78 I71:I78 K71:K78 M71:M78 O71:O78 Q71:Q78 S71:S78 U71:U78 W71:W78 Y71:Y78 AA71:AA78 AC71:AC78 AE71:AE78 AG71:AG78">
    <cfRule type="cellIs" dxfId="943" priority="312" operator="lessThan">
      <formula>0</formula>
    </cfRule>
  </conditionalFormatting>
  <conditionalFormatting sqref="G71:G78 I71:I78 K71:K78 M71:M78 O71:O78 Q71:Q78 S71:S78 U71:U78 W71:W78 Y71:Y78 AA71:AA78 AC71:AC78 AE71:AE78 AG71:AG78">
    <cfRule type="cellIs" dxfId="942" priority="313" operator="lessThan">
      <formula>0</formula>
    </cfRule>
  </conditionalFormatting>
  <conditionalFormatting sqref="G80:G83 I80:I83 K80:K83 M80:M83 O80:O83 Q80:Q83 S80:S83 U80:U83 W80:W83 Y80:Y83 AA80:AA83 AC80:AC83 AE80:AE83 AG80:AG83">
    <cfRule type="cellIs" dxfId="941" priority="314" operator="lessThan">
      <formula>0</formula>
    </cfRule>
  </conditionalFormatting>
  <conditionalFormatting sqref="G80:G83 I80:I83 K80:K83 M80:M83 O80:O83 Q80:Q83 S80:S83 U80:U83 W80:W83 Y80:Y83 AA80:AA83 AC80:AC83 AE80:AE83 AG80:AG83">
    <cfRule type="cellIs" dxfId="940" priority="315" operator="lessThan">
      <formula>0</formula>
    </cfRule>
  </conditionalFormatting>
  <conditionalFormatting sqref="G85:G87 K85:K87">
    <cfRule type="cellIs" dxfId="939" priority="316" operator="lessThan">
      <formula>0</formula>
    </cfRule>
  </conditionalFormatting>
  <conditionalFormatting sqref="G85:G87 K85:K87">
    <cfRule type="cellIs" dxfId="938" priority="317" operator="lessThan">
      <formula>0</formula>
    </cfRule>
  </conditionalFormatting>
  <conditionalFormatting sqref="H70 L70">
    <cfRule type="cellIs" dxfId="937" priority="318" operator="lessThan">
      <formula>0</formula>
    </cfRule>
  </conditionalFormatting>
  <conditionalFormatting sqref="H79:I79 L79:M79">
    <cfRule type="cellIs" dxfId="936" priority="319" operator="lessThan">
      <formula>0</formula>
    </cfRule>
  </conditionalFormatting>
  <conditionalFormatting sqref="H84:I84 L84:M84">
    <cfRule type="cellIs" dxfId="935" priority="320" operator="lessThan">
      <formula>0</formula>
    </cfRule>
  </conditionalFormatting>
  <conditionalFormatting sqref="H88:I88 L88:M88">
    <cfRule type="cellIs" dxfId="934" priority="321" operator="lessThan">
      <formula>0</formula>
    </cfRule>
  </conditionalFormatting>
  <conditionalFormatting sqref="H73:H78 L73:L78 H80:H83 L80:L83 H85:H87 L85:L87">
    <cfRule type="cellIs" dxfId="933" priority="322" operator="lessThan">
      <formula>0</formula>
    </cfRule>
  </conditionalFormatting>
  <conditionalFormatting sqref="I71:I78 M71:M78">
    <cfRule type="cellIs" dxfId="932" priority="323" operator="lessThan">
      <formula>0</formula>
    </cfRule>
  </conditionalFormatting>
  <conditionalFormatting sqref="I71:I78 M71:M78">
    <cfRule type="cellIs" dxfId="931" priority="324" operator="lessThan">
      <formula>0</formula>
    </cfRule>
  </conditionalFormatting>
  <conditionalFormatting sqref="I80:I83 M80:M83">
    <cfRule type="cellIs" dxfId="930" priority="325" operator="lessThan">
      <formula>0</formula>
    </cfRule>
  </conditionalFormatting>
  <conditionalFormatting sqref="I80:I83 M80:M83">
    <cfRule type="cellIs" dxfId="929" priority="326" operator="lessThan">
      <formula>0</formula>
    </cfRule>
  </conditionalFormatting>
  <conditionalFormatting sqref="I85:I87 M85:M87">
    <cfRule type="cellIs" dxfId="928" priority="327" operator="lessThan">
      <formula>0</formula>
    </cfRule>
  </conditionalFormatting>
  <conditionalFormatting sqref="I85:I87 M85:M87">
    <cfRule type="cellIs" dxfId="927" priority="328" operator="lessThan">
      <formula>0</formula>
    </cfRule>
  </conditionalFormatting>
  <conditionalFormatting sqref="N70">
    <cfRule type="cellIs" dxfId="926" priority="329" operator="lessThan">
      <formula>0</formula>
    </cfRule>
  </conditionalFormatting>
  <conditionalFormatting sqref="N79:O79">
    <cfRule type="cellIs" dxfId="925" priority="330" operator="lessThan">
      <formula>0</formula>
    </cfRule>
  </conditionalFormatting>
  <conditionalFormatting sqref="N84:O84">
    <cfRule type="cellIs" dxfId="924" priority="331" operator="lessThan">
      <formula>0</formula>
    </cfRule>
  </conditionalFormatting>
  <conditionalFormatting sqref="N88:O88">
    <cfRule type="cellIs" dxfId="923" priority="332" operator="lessThan">
      <formula>0</formula>
    </cfRule>
  </conditionalFormatting>
  <conditionalFormatting sqref="N73:N78 N80:N83 N85:N87">
    <cfRule type="cellIs" dxfId="922" priority="333" operator="lessThan">
      <formula>0</formula>
    </cfRule>
  </conditionalFormatting>
  <conditionalFormatting sqref="O71:O78">
    <cfRule type="cellIs" dxfId="921" priority="334" operator="lessThan">
      <formula>0</formula>
    </cfRule>
  </conditionalFormatting>
  <conditionalFormatting sqref="O71:O78">
    <cfRule type="cellIs" dxfId="920" priority="335" operator="lessThan">
      <formula>0</formula>
    </cfRule>
  </conditionalFormatting>
  <conditionalFormatting sqref="O80:O83">
    <cfRule type="cellIs" dxfId="919" priority="336" operator="lessThan">
      <formula>0</formula>
    </cfRule>
  </conditionalFormatting>
  <conditionalFormatting sqref="O80:O83">
    <cfRule type="cellIs" dxfId="918" priority="337" operator="lessThan">
      <formula>0</formula>
    </cfRule>
  </conditionalFormatting>
  <conditionalFormatting sqref="O85:O87">
    <cfRule type="cellIs" dxfId="917" priority="338" operator="lessThan">
      <formula>0</formula>
    </cfRule>
  </conditionalFormatting>
  <conditionalFormatting sqref="O85:O87">
    <cfRule type="cellIs" dxfId="916" priority="339" operator="lessThan">
      <formula>0</formula>
    </cfRule>
  </conditionalFormatting>
  <conditionalFormatting sqref="P70">
    <cfRule type="cellIs" dxfId="915" priority="340" operator="lessThan">
      <formula>0</formula>
    </cfRule>
  </conditionalFormatting>
  <conditionalFormatting sqref="P79:Q79">
    <cfRule type="cellIs" dxfId="914" priority="341" operator="lessThan">
      <formula>0</formula>
    </cfRule>
  </conditionalFormatting>
  <conditionalFormatting sqref="P84:Q84">
    <cfRule type="cellIs" dxfId="913" priority="342" operator="lessThan">
      <formula>0</formula>
    </cfRule>
  </conditionalFormatting>
  <conditionalFormatting sqref="P88:Q88">
    <cfRule type="cellIs" dxfId="912" priority="343" operator="lessThan">
      <formula>0</formula>
    </cfRule>
  </conditionalFormatting>
  <conditionalFormatting sqref="P73:P78 P80:P83 P85:P87">
    <cfRule type="cellIs" dxfId="911" priority="344" operator="lessThan">
      <formula>0</formula>
    </cfRule>
  </conditionalFormatting>
  <conditionalFormatting sqref="Q71:Q78">
    <cfRule type="cellIs" dxfId="910" priority="345" operator="lessThan">
      <formula>0</formula>
    </cfRule>
  </conditionalFormatting>
  <conditionalFormatting sqref="Q71:Q78">
    <cfRule type="cellIs" dxfId="909" priority="346" operator="lessThan">
      <formula>0</formula>
    </cfRule>
  </conditionalFormatting>
  <conditionalFormatting sqref="Q80:Q83">
    <cfRule type="cellIs" dxfId="908" priority="347" operator="lessThan">
      <formula>0</formula>
    </cfRule>
  </conditionalFormatting>
  <conditionalFormatting sqref="Q80:Q83">
    <cfRule type="cellIs" dxfId="907" priority="348" operator="lessThan">
      <formula>0</formula>
    </cfRule>
  </conditionalFormatting>
  <conditionalFormatting sqref="Q85:Q87">
    <cfRule type="cellIs" dxfId="906" priority="349" operator="lessThan">
      <formula>0</formula>
    </cfRule>
  </conditionalFormatting>
  <conditionalFormatting sqref="Q85:Q87">
    <cfRule type="cellIs" dxfId="905" priority="350" operator="lessThan">
      <formula>0</formula>
    </cfRule>
  </conditionalFormatting>
  <conditionalFormatting sqref="R70 AD70">
    <cfRule type="cellIs" dxfId="904" priority="351" operator="lessThan">
      <formula>0</formula>
    </cfRule>
  </conditionalFormatting>
  <conditionalFormatting sqref="R79:S79 AD79:AE79">
    <cfRule type="cellIs" dxfId="903" priority="352" operator="lessThan">
      <formula>0</formula>
    </cfRule>
  </conditionalFormatting>
  <conditionalFormatting sqref="R84:S84 AD84:AE84">
    <cfRule type="cellIs" dxfId="902" priority="353" operator="lessThan">
      <formula>0</formula>
    </cfRule>
  </conditionalFormatting>
  <conditionalFormatting sqref="R88:S88 AD88:AE88">
    <cfRule type="cellIs" dxfId="901" priority="354" operator="lessThan">
      <formula>0</formula>
    </cfRule>
  </conditionalFormatting>
  <conditionalFormatting sqref="R73:R78 AD73:AD78 R80:R83 AD80:AD83 R85:R87 T85:T87 V85:V87 X85:X87 Z85:Z87 AB85:AB87 AD85:AD87 AF85:AF87">
    <cfRule type="cellIs" dxfId="900" priority="355" operator="lessThan">
      <formula>0</formula>
    </cfRule>
  </conditionalFormatting>
  <conditionalFormatting sqref="S71:S78 AE71:AE78">
    <cfRule type="cellIs" dxfId="899" priority="356" operator="lessThan">
      <formula>0</formula>
    </cfRule>
  </conditionalFormatting>
  <conditionalFormatting sqref="S71:S78 AE71:AE78">
    <cfRule type="cellIs" dxfId="898" priority="357" operator="lessThan">
      <formula>0</formula>
    </cfRule>
  </conditionalFormatting>
  <conditionalFormatting sqref="S80:S83 AE80:AE83">
    <cfRule type="cellIs" dxfId="897" priority="358" operator="lessThan">
      <formula>0</formula>
    </cfRule>
  </conditionalFormatting>
  <conditionalFormatting sqref="S80:S83 AE80:AE83">
    <cfRule type="cellIs" dxfId="896" priority="359" operator="lessThan">
      <formula>0</formula>
    </cfRule>
  </conditionalFormatting>
  <conditionalFormatting sqref="S85:S87 U85:U87 W85:W87 Y85:Y87 AA85:AA87 AC85:AC87 AE85:AE87 AG85:AG87">
    <cfRule type="cellIs" dxfId="895" priority="360" operator="lessThan">
      <formula>0</formula>
    </cfRule>
  </conditionalFormatting>
  <conditionalFormatting sqref="S85:S87 U85:U87 W85:W87 Y85:Y87 AA85:AA87 AC85:AC87 AE85:AE87 AG85:AG87">
    <cfRule type="cellIs" dxfId="894" priority="361" operator="lessThan">
      <formula>0</formula>
    </cfRule>
  </conditionalFormatting>
  <conditionalFormatting sqref="T70:V70 X70 Z70 AB70:AF70">
    <cfRule type="cellIs" dxfId="893" priority="362" operator="lessThan">
      <formula>0</formula>
    </cfRule>
  </conditionalFormatting>
  <conditionalFormatting sqref="T79:AG79">
    <cfRule type="cellIs" dxfId="892" priority="363" operator="lessThan">
      <formula>0</formula>
    </cfRule>
  </conditionalFormatting>
  <conditionalFormatting sqref="T84:AG84">
    <cfRule type="cellIs" dxfId="891" priority="364" operator="lessThan">
      <formula>0</formula>
    </cfRule>
  </conditionalFormatting>
  <conditionalFormatting sqref="T88:AG88">
    <cfRule type="cellIs" dxfId="890" priority="365" operator="lessThan">
      <formula>0</formula>
    </cfRule>
  </conditionalFormatting>
  <conditionalFormatting sqref="T73:V78 X73:X78 Z73:Z78 AB73:AF78 T80:V83 X80:X83 Z80:Z83 AB80:AF83 T85:V87 X85:X87 Z85:Z87 AB85:AF87">
    <cfRule type="cellIs" dxfId="889" priority="366" operator="lessThan">
      <formula>0</formula>
    </cfRule>
  </conditionalFormatting>
  <conditionalFormatting sqref="U71:U78 W71:W78 Y71:Y78 AA71:AA78 AC71:AC78 AG71:AG78">
    <cfRule type="cellIs" dxfId="888" priority="367" operator="lessThan">
      <formula>0</formula>
    </cfRule>
  </conditionalFormatting>
  <conditionalFormatting sqref="U71:U78 W71:W78 Y71:Y78 AA71:AA78 AC71:AC78 AG71:AG78">
    <cfRule type="cellIs" dxfId="887" priority="368" operator="lessThan">
      <formula>0</formula>
    </cfRule>
  </conditionalFormatting>
  <conditionalFormatting sqref="U80:U83 W80:W83 Y80:Y83 AA80:AA83 AC80:AC83 AG80:AG83">
    <cfRule type="cellIs" dxfId="886" priority="369" operator="lessThan">
      <formula>0</formula>
    </cfRule>
  </conditionalFormatting>
  <conditionalFormatting sqref="U80:U83 W80:W83 Y80:Y83 AA80:AA83 AC80:AC83 AG80:AG83">
    <cfRule type="cellIs" dxfId="885" priority="370" operator="lessThan">
      <formula>0</formula>
    </cfRule>
  </conditionalFormatting>
  <conditionalFormatting sqref="U85:U87 W85:W87 Y85:Y87 AA85:AA87 AC85:AC87 AG85:AG87">
    <cfRule type="cellIs" dxfId="884" priority="371" operator="lessThan">
      <formula>0</formula>
    </cfRule>
  </conditionalFormatting>
  <conditionalFormatting sqref="U85:U87 W85:W87 Y85:Y87 AA85:AA87 AC85:AC87 AG85:AG87">
    <cfRule type="cellIs" dxfId="883" priority="372" operator="lessThan">
      <formula>0</formula>
    </cfRule>
  </conditionalFormatting>
  <conditionalFormatting sqref="G66:G68 I66:I68 K66:K68 M66:M68 O66:O68 Q66:Q68 S66:S68 U66:U68 W66:W68 Y66:Y68 AA66:AA68 AC66:AC68 AE66:AE68 AG66:AG68">
    <cfRule type="cellIs" dxfId="882" priority="373" operator="lessThan">
      <formula>0</formula>
    </cfRule>
  </conditionalFormatting>
  <conditionalFormatting sqref="G66:G68 I66:I68 K66:K68 M66:M68 O66:O68 Q66:Q68 S66:S68 U66:U68 W66:W68 Y66:Y68 AA66:AA68 AC66:AC68 AE66:AE68 AG66:AG68">
    <cfRule type="cellIs" dxfId="881" priority="374" operator="lessThan">
      <formula>0</formula>
    </cfRule>
  </conditionalFormatting>
  <conditionalFormatting sqref="G53:G56 K53:K56 G60 K60 G64 I64 K64 M64 O64 Q64 S64 U64 W64 Y64 AA64 AC64 AE64 AG64">
    <cfRule type="cellIs" dxfId="880" priority="375" operator="lessThan">
      <formula>0</formula>
    </cfRule>
  </conditionalFormatting>
  <conditionalFormatting sqref="G63 K63">
    <cfRule type="cellIs" dxfId="879" priority="376" operator="lessThan">
      <formula>0</formula>
    </cfRule>
  </conditionalFormatting>
  <conditionalFormatting sqref="G55:G56 K55:K56 G60 K60 G64 I64 K64 M64 O64 Q64 S64 U64 W64 Y64 AA64 AC64 AE64 AG64">
    <cfRule type="cellIs" dxfId="878" priority="377" operator="lessThan">
      <formula>0</formula>
    </cfRule>
  </conditionalFormatting>
  <conditionalFormatting sqref="G70 K70">
    <cfRule type="cellIs" dxfId="877" priority="378" operator="lessThan">
      <formula>0</formula>
    </cfRule>
  </conditionalFormatting>
  <conditionalFormatting sqref="I66:I68 M66:M68">
    <cfRule type="cellIs" dxfId="876" priority="379" operator="lessThan">
      <formula>0</formula>
    </cfRule>
  </conditionalFormatting>
  <conditionalFormatting sqref="I66:I68 M66:M68">
    <cfRule type="cellIs" dxfId="875" priority="380" operator="lessThan">
      <formula>0</formula>
    </cfRule>
  </conditionalFormatting>
  <conditionalFormatting sqref="I53:I56 M53:M56 I60 M60 I64 M64">
    <cfRule type="cellIs" dxfId="874" priority="381" operator="lessThan">
      <formula>0</formula>
    </cfRule>
  </conditionalFormatting>
  <conditionalFormatting sqref="I63 M63">
    <cfRule type="cellIs" dxfId="873" priority="382" operator="lessThan">
      <formula>0</formula>
    </cfRule>
  </conditionalFormatting>
  <conditionalFormatting sqref="I55:I56 M55:M56 I60 M60 I64 M64">
    <cfRule type="cellIs" dxfId="872" priority="383" operator="lessThan">
      <formula>0</formula>
    </cfRule>
  </conditionalFormatting>
  <conditionalFormatting sqref="I70 M70">
    <cfRule type="cellIs" dxfId="871" priority="384" operator="lessThan">
      <formula>0</formula>
    </cfRule>
  </conditionalFormatting>
  <conditionalFormatting sqref="O66:O68">
    <cfRule type="cellIs" dxfId="870" priority="385" operator="lessThan">
      <formula>0</formula>
    </cfRule>
  </conditionalFormatting>
  <conditionalFormatting sqref="O66:O68">
    <cfRule type="cellIs" dxfId="869" priority="386" operator="lessThan">
      <formula>0</formula>
    </cfRule>
  </conditionalFormatting>
  <conditionalFormatting sqref="O53:O56 O60 O64">
    <cfRule type="cellIs" dxfId="868" priority="387" operator="lessThan">
      <formula>0</formula>
    </cfRule>
  </conditionalFormatting>
  <conditionalFormatting sqref="O63">
    <cfRule type="cellIs" dxfId="867" priority="388" operator="lessThan">
      <formula>0</formula>
    </cfRule>
  </conditionalFormatting>
  <conditionalFormatting sqref="O55:O56 O60 O64">
    <cfRule type="cellIs" dxfId="866" priority="389" operator="lessThan">
      <formula>0</formula>
    </cfRule>
  </conditionalFormatting>
  <conditionalFormatting sqref="O70">
    <cfRule type="cellIs" dxfId="865" priority="390" operator="lessThan">
      <formula>0</formula>
    </cfRule>
  </conditionalFormatting>
  <conditionalFormatting sqref="Q66:Q68">
    <cfRule type="cellIs" dxfId="864" priority="391" operator="lessThan">
      <formula>0</formula>
    </cfRule>
  </conditionalFormatting>
  <conditionalFormatting sqref="Q66:Q68">
    <cfRule type="cellIs" dxfId="863" priority="392" operator="lessThan">
      <formula>0</formula>
    </cfRule>
  </conditionalFormatting>
  <conditionalFormatting sqref="Q53:Q56 Q60 Q64">
    <cfRule type="cellIs" dxfId="862" priority="393" operator="lessThan">
      <formula>0</formula>
    </cfRule>
  </conditionalFormatting>
  <conditionalFormatting sqref="Q63">
    <cfRule type="cellIs" dxfId="861" priority="394" operator="lessThan">
      <formula>0</formula>
    </cfRule>
  </conditionalFormatting>
  <conditionalFormatting sqref="Q55:Q56 Q60 Q64">
    <cfRule type="cellIs" dxfId="860" priority="395" operator="lessThan">
      <formula>0</formula>
    </cfRule>
  </conditionalFormatting>
  <conditionalFormatting sqref="Q70">
    <cfRule type="cellIs" dxfId="859" priority="396" operator="lessThan">
      <formula>0</formula>
    </cfRule>
  </conditionalFormatting>
  <conditionalFormatting sqref="S66:S68 AE66:AE68">
    <cfRule type="cellIs" dxfId="858" priority="397" operator="lessThan">
      <formula>0</formula>
    </cfRule>
  </conditionalFormatting>
  <conditionalFormatting sqref="S66:S68 AE66:AE68">
    <cfRule type="cellIs" dxfId="857" priority="398" operator="lessThan">
      <formula>0</formula>
    </cfRule>
  </conditionalFormatting>
  <conditionalFormatting sqref="S53:S56 AE53:AE56 S60 U60 AE60 S64 AE64">
    <cfRule type="cellIs" dxfId="856" priority="399" operator="lessThan">
      <formula>0</formula>
    </cfRule>
  </conditionalFormatting>
  <conditionalFormatting sqref="S63 AE63">
    <cfRule type="cellIs" dxfId="855" priority="400" operator="lessThan">
      <formula>0</formula>
    </cfRule>
  </conditionalFormatting>
  <conditionalFormatting sqref="S55:S56 AE55:AE56 S60 U60 AE60 S64 AE64">
    <cfRule type="cellIs" dxfId="854" priority="401" operator="lessThan">
      <formula>0</formula>
    </cfRule>
  </conditionalFormatting>
  <conditionalFormatting sqref="S70 AE70">
    <cfRule type="cellIs" dxfId="853" priority="402" operator="lessThan">
      <formula>0</formula>
    </cfRule>
  </conditionalFormatting>
  <conditionalFormatting sqref="U66:U68 W66:W68 Y66:Y68 AA66:AA68 AC66:AC68 AG66:AG68">
    <cfRule type="cellIs" dxfId="852" priority="403" operator="lessThan">
      <formula>0</formula>
    </cfRule>
  </conditionalFormatting>
  <conditionalFormatting sqref="U66:U68 W66:W68 Y66:Y68 AA66:AA68 AC66:AC68 AG66:AG68">
    <cfRule type="cellIs" dxfId="851" priority="404" operator="lessThan">
      <formula>0</formula>
    </cfRule>
  </conditionalFormatting>
  <conditionalFormatting sqref="U53:U56 W53:W56 Y53:Y56 AA53:AA56 AC53:AC56 AG53:AG56 U60 W60 Y60 AA60 AC60 AG60 U64 W64 Y64 AA64 AC64 AG64">
    <cfRule type="cellIs" dxfId="850" priority="405" operator="lessThan">
      <formula>0</formula>
    </cfRule>
  </conditionalFormatting>
  <conditionalFormatting sqref="U63 W63 Y63 AA63 AC63 AG63">
    <cfRule type="cellIs" dxfId="849" priority="406" operator="lessThan">
      <formula>0</formula>
    </cfRule>
  </conditionalFormatting>
  <conditionalFormatting sqref="U55:U56 W55:W56 Y55:Y56 AA55:AA56 AC55:AC56 AG55:AG56 U60 W60 Y60 AA60 AC60 AG60 U64 W64 Y64 AA64 AC64 AG64">
    <cfRule type="cellIs" dxfId="848" priority="407" operator="lessThan">
      <formula>0</formula>
    </cfRule>
  </conditionalFormatting>
  <conditionalFormatting sqref="U70 W70 Y70 AA70 AC70 AG70">
    <cfRule type="cellIs" dxfId="847" priority="408" operator="lessThan">
      <formula>0</formula>
    </cfRule>
  </conditionalFormatting>
  <conditionalFormatting sqref="F63:J63">
    <cfRule type="cellIs" dxfId="846" priority="409" operator="lessThan">
      <formula>0</formula>
    </cfRule>
  </conditionalFormatting>
  <conditionalFormatting sqref="F63:J63 L63">
    <cfRule type="cellIs" dxfId="845" priority="410" operator="lessThan">
      <formula>0</formula>
    </cfRule>
  </conditionalFormatting>
  <conditionalFormatting sqref="N63">
    <cfRule type="cellIs" dxfId="844" priority="411" operator="lessThan">
      <formula>0</formula>
    </cfRule>
  </conditionalFormatting>
  <conditionalFormatting sqref="P63">
    <cfRule type="cellIs" dxfId="843" priority="412" operator="lessThan">
      <formula>0</formula>
    </cfRule>
  </conditionalFormatting>
  <conditionalFormatting sqref="R63 AD63">
    <cfRule type="cellIs" dxfId="842" priority="413" operator="lessThan">
      <formula>0</formula>
    </cfRule>
  </conditionalFormatting>
  <conditionalFormatting sqref="T63:V63 X63 Z63 AB63:AF63">
    <cfRule type="cellIs" dxfId="841" priority="414" operator="lessThan">
      <formula>0</formula>
    </cfRule>
  </conditionalFormatting>
  <conditionalFormatting sqref="G93 I93 K93 M93 O93 Q93 S93 U93 W93 Y93 AA93 AC93 AE93 AG93 G95 I95 K95 M95 O95 Q95 S95 U95 W95 Y95 AA95 AC95 AE95 AG95 G97:G99 I97:I99 K97:K99 M97:M99 O97:O99 Q97:Q99 S97:S99 U97:U99 W97:W99 Y97:Y99 AA97:AA99 AC97:AC99 AE97:AE99 AG97:AG99 O102 Q102">
    <cfRule type="cellIs" dxfId="840" priority="415" operator="lessThan">
      <formula>0</formula>
    </cfRule>
  </conditionalFormatting>
  <conditionalFormatting sqref="G93 I93 K93 M93 O93 Q93 S93 U93 W93 Y93 AA93 AC93 AE93 AG93 G95 I95 K95 M95 O95 Q95 S95 U95 W95 Y95 AA95 AC95 AE95 AG95 G97:G99 I97:I99 K97:K99 M97:M99 O97:O99 Q97:Q99 S97:S99 U97:U99 W97:W99 Y97:Y99 AA97:AA99 AC97:AC99 AE97:AE99 AG97:AG99 O102 Q102">
    <cfRule type="cellIs" dxfId="839" priority="416" operator="lessThan">
      <formula>0</formula>
    </cfRule>
  </conditionalFormatting>
  <conditionalFormatting sqref="G138 I138 K138">
    <cfRule type="cellIs" dxfId="838" priority="417" operator="lessThan">
      <formula>0</formula>
    </cfRule>
  </conditionalFormatting>
  <conditionalFormatting sqref="G89 I89 K89 M89 O89 Q89 G92:G93 K92:K93 G95 K95 G97:G101 K97:K101 G104 K104">
    <cfRule type="cellIs" dxfId="837" priority="418" operator="lessThan">
      <formula>0</formula>
    </cfRule>
  </conditionalFormatting>
  <conditionalFormatting sqref="G89 I89 K89 M89 O89 Q89 G92:G93 K92:K93 G95 K95 G97:G101 K97:K101 G104 K104">
    <cfRule type="cellIs" dxfId="836" priority="419" operator="lessThan">
      <formula>0</formula>
    </cfRule>
  </conditionalFormatting>
  <conditionalFormatting sqref="G108 K108 G110 I110 K110 M110 O110 Q110 S110 U110 W110 Y110 AA110 AC110 AE110 AG110 G115 I115 K115 M115 O115 Q115 S115 U115 W115 Y115 AA115 AC115 AE115 AG115 G123:G124 I123:I124 K123:K124 M123:M124 O123:O124 Q123:Q124 S123:S124 U123:U124 W123:W124 Y123:Y124 AA123:AA124 AC123:AC124 AE123:AE124 AG123:AG124">
    <cfRule type="cellIs" dxfId="835" priority="420" operator="lessThan">
      <formula>0</formula>
    </cfRule>
  </conditionalFormatting>
  <conditionalFormatting sqref="G108 K108 G110 I110 K110 M110 O110 Q110 S110 U110 W110 Y110 AA110 AC110 AE110 AG110 G115 I115 K115 M115 O115 Q115 S115 U115 W115 Y115 AA115 AC115 AE115 AG115 G123:G124 I123:I124 K123:K124 M123:M124 O123:O124 Q123:Q124 S123:S124 U123:U124 W123:W124 Y123:Y124 AA123:AA124 AC123:AC124 AE123:AE124 AG123:AG124">
    <cfRule type="cellIs" dxfId="834" priority="421" operator="lessThan">
      <formula>0</formula>
    </cfRule>
  </conditionalFormatting>
  <conditionalFormatting sqref="G129:G135 K129:K130 M130 O130 Q130 S130 U130 W130 Y130 AA130 AC130 AE130 AG130 K132:K135 M132:M135 O132:O135 Q132:Q135 S132:S135 U132:U135 W132:W135 Y132:Y135 AA132:AA135 AC132:AC135 AE132:AE135 AG132:AG135 G143 K143">
    <cfRule type="cellIs" dxfId="833" priority="422" operator="lessThan">
      <formula>0</formula>
    </cfRule>
  </conditionalFormatting>
  <conditionalFormatting sqref="G129:G135 K129:K130 M130 O130 Q130 S130 U130 W130 Y130 AA130 AC130 AE130 AG130 K132:K135 M132:M135 O132:O135 Q132:Q135 S132:S135 U132:U135 W132:W135 Y132:Y135 AA132:AA135 AC132:AC135 AE132:AE135 AG132:AG135 G143 K143">
    <cfRule type="cellIs" dxfId="832" priority="423" operator="lessThan">
      <formula>0</formula>
    </cfRule>
  </conditionalFormatting>
  <conditionalFormatting sqref="G141:G142 K141:K142 G144 K144">
    <cfRule type="cellIs" dxfId="831" priority="424" operator="lessThan">
      <formula>0</formula>
    </cfRule>
  </conditionalFormatting>
  <conditionalFormatting sqref="G141:G142 K141:K142 G144 K144">
    <cfRule type="cellIs" dxfId="830" priority="425" operator="lessThan">
      <formula>0</formula>
    </cfRule>
  </conditionalFormatting>
  <conditionalFormatting sqref="G146:G150 K146:K150">
    <cfRule type="cellIs" dxfId="829" priority="426" operator="lessThan">
      <formula>0</formula>
    </cfRule>
  </conditionalFormatting>
  <conditionalFormatting sqref="G146:G150 K146:K150">
    <cfRule type="cellIs" dxfId="828" priority="427" operator="lessThan">
      <formula>0</formula>
    </cfRule>
  </conditionalFormatting>
  <conditionalFormatting sqref="G136 I136 K136">
    <cfRule type="cellIs" dxfId="827" priority="428" operator="lessThan">
      <formula>0</formula>
    </cfRule>
  </conditionalFormatting>
  <conditionalFormatting sqref="K137 K139:K140 G140 G145 K145 G151 K151">
    <cfRule type="cellIs" dxfId="826" priority="429" operator="lessThan">
      <formula>0</formula>
    </cfRule>
  </conditionalFormatting>
  <conditionalFormatting sqref="M138">
    <cfRule type="cellIs" dxfId="825" priority="430" operator="lessThan">
      <formula>0</formula>
    </cfRule>
  </conditionalFormatting>
  <conditionalFormatting sqref="I89 M89 O89 Q89 S89 U89 W89 Y89 AA89 AC89 AE89 AG89 I92:I93 M92:M93 I95 M95 O95 Q95 I97:I101 M97:M101 I104 M104">
    <cfRule type="cellIs" dxfId="824" priority="431" operator="lessThan">
      <formula>0</formula>
    </cfRule>
  </conditionalFormatting>
  <conditionalFormatting sqref="I89 M89 O89 Q89 S89 U89 W89 Y89 AA89 AC89 AE89 AG89 I92:I93 M92:M93 I95 M95 O95 Q95 I97:I101 M97:M101 I104 M104">
    <cfRule type="cellIs" dxfId="823" priority="432" operator="lessThan">
      <formula>0</formula>
    </cfRule>
  </conditionalFormatting>
  <conditionalFormatting sqref="I108 M108 I110 M110">
    <cfRule type="cellIs" dxfId="822" priority="433" operator="lessThan">
      <formula>0</formula>
    </cfRule>
  </conditionalFormatting>
  <conditionalFormatting sqref="I108 M108 I110 M110">
    <cfRule type="cellIs" dxfId="821" priority="434" operator="lessThan">
      <formula>0</formula>
    </cfRule>
  </conditionalFormatting>
  <conditionalFormatting sqref="I129:I135 M129:M130 M132:M135 I143 M143">
    <cfRule type="cellIs" dxfId="820" priority="435" operator="lessThan">
      <formula>0</formula>
    </cfRule>
  </conditionalFormatting>
  <conditionalFormatting sqref="I129:I135 M129:M130 M132:M135 I143 M143">
    <cfRule type="cellIs" dxfId="819" priority="436" operator="lessThan">
      <formula>0</formula>
    </cfRule>
  </conditionalFormatting>
  <conditionalFormatting sqref="I141:I142 M141:M142 I144 M144">
    <cfRule type="cellIs" dxfId="818" priority="437" operator="lessThan">
      <formula>0</formula>
    </cfRule>
  </conditionalFormatting>
  <conditionalFormatting sqref="I141:I142 M141:M142 I144 M144">
    <cfRule type="cellIs" dxfId="817" priority="438" operator="lessThan">
      <formula>0</formula>
    </cfRule>
  </conditionalFormatting>
  <conditionalFormatting sqref="I146:I150 M146:M150">
    <cfRule type="cellIs" dxfId="816" priority="439" operator="lessThan">
      <formula>0</formula>
    </cfRule>
  </conditionalFormatting>
  <conditionalFormatting sqref="I146:I150 M146:M150">
    <cfRule type="cellIs" dxfId="815" priority="440" operator="lessThan">
      <formula>0</formula>
    </cfRule>
  </conditionalFormatting>
  <conditionalFormatting sqref="M136">
    <cfRule type="cellIs" dxfId="814" priority="441" operator="lessThan">
      <formula>0</formula>
    </cfRule>
  </conditionalFormatting>
  <conditionalFormatting sqref="M137 M139:M140 I140 I145 M145 I151 M151">
    <cfRule type="cellIs" dxfId="813" priority="442" operator="lessThan">
      <formula>0</formula>
    </cfRule>
  </conditionalFormatting>
  <conditionalFormatting sqref="O138">
    <cfRule type="cellIs" dxfId="812" priority="443" operator="lessThan">
      <formula>0</formula>
    </cfRule>
  </conditionalFormatting>
  <conditionalFormatting sqref="O89 Q89 S89 U89 W89 Y89 AA89 AC89 AE89 AG89 O92:O93 O95 O97:O102 O104 Q104 S104 U104 W104 Y104 AA104 AC104 AE104 AG104">
    <cfRule type="cellIs" dxfId="811" priority="444" operator="lessThan">
      <formula>0</formula>
    </cfRule>
  </conditionalFormatting>
  <conditionalFormatting sqref="O89 Q89 S89 U89 W89 Y89 AA89 AC89 AE89 AG89 O92:O93 O95 O97:O102 O104 Q104 S104 U104 W104 Y104 AA104 AC104 AE104 AG104">
    <cfRule type="cellIs" dxfId="810" priority="445" operator="lessThan">
      <formula>0</formula>
    </cfRule>
  </conditionalFormatting>
  <conditionalFormatting sqref="O108 O110">
    <cfRule type="cellIs" dxfId="809" priority="446" operator="lessThan">
      <formula>0</formula>
    </cfRule>
  </conditionalFormatting>
  <conditionalFormatting sqref="O108 O110">
    <cfRule type="cellIs" dxfId="808" priority="447" operator="lessThan">
      <formula>0</formula>
    </cfRule>
  </conditionalFormatting>
  <conditionalFormatting sqref="O129:O130 Q130 S130 U130 W130 Y130 AA130 AC130 AE130 AG130 O132:O135 O143">
    <cfRule type="cellIs" dxfId="807" priority="448" operator="lessThan">
      <formula>0</formula>
    </cfRule>
  </conditionalFormatting>
  <conditionalFormatting sqref="O129:O130 Q130 S130 U130 W130 Y130 AA130 AC130 AE130 AG130 O132:O135 O143">
    <cfRule type="cellIs" dxfId="806" priority="449" operator="lessThan">
      <formula>0</formula>
    </cfRule>
  </conditionalFormatting>
  <conditionalFormatting sqref="O141:O142 O144">
    <cfRule type="cellIs" dxfId="805" priority="450" operator="lessThan">
      <formula>0</formula>
    </cfRule>
  </conditionalFormatting>
  <conditionalFormatting sqref="O141:O142 O144">
    <cfRule type="cellIs" dxfId="804" priority="451" operator="lessThan">
      <formula>0</formula>
    </cfRule>
  </conditionalFormatting>
  <conditionalFormatting sqref="O146:O150">
    <cfRule type="cellIs" dxfId="803" priority="452" operator="lessThan">
      <formula>0</formula>
    </cfRule>
  </conditionalFormatting>
  <conditionalFormatting sqref="O146:O150">
    <cfRule type="cellIs" dxfId="802" priority="453" operator="lessThan">
      <formula>0</formula>
    </cfRule>
  </conditionalFormatting>
  <conditionalFormatting sqref="O136">
    <cfRule type="cellIs" dxfId="801" priority="454" operator="lessThan">
      <formula>0</formula>
    </cfRule>
  </conditionalFormatting>
  <conditionalFormatting sqref="O137 O139:O140 O145 O151">
    <cfRule type="cellIs" dxfId="800" priority="455" operator="lessThan">
      <formula>0</formula>
    </cfRule>
  </conditionalFormatting>
  <conditionalFormatting sqref="Q138">
    <cfRule type="cellIs" dxfId="799" priority="456" operator="lessThan">
      <formula>0</formula>
    </cfRule>
  </conditionalFormatting>
  <conditionalFormatting sqref="Q89 Q92:Q93 Q95 Q97:Q102 Q104">
    <cfRule type="cellIs" dxfId="798" priority="457" operator="lessThan">
      <formula>0</formula>
    </cfRule>
  </conditionalFormatting>
  <conditionalFormatting sqref="Q89 Q92:Q93 Q95 Q97:Q102 Q104">
    <cfRule type="cellIs" dxfId="797" priority="458" operator="lessThan">
      <formula>0</formula>
    </cfRule>
  </conditionalFormatting>
  <conditionalFormatting sqref="Q108 Q110">
    <cfRule type="cellIs" dxfId="796" priority="459" operator="lessThan">
      <formula>0</formula>
    </cfRule>
  </conditionalFormatting>
  <conditionalFormatting sqref="Q108 Q110">
    <cfRule type="cellIs" dxfId="795" priority="460" operator="lessThan">
      <formula>0</formula>
    </cfRule>
  </conditionalFormatting>
  <conditionalFormatting sqref="Q129:Q130 Q132:Q135 Q143">
    <cfRule type="cellIs" dxfId="794" priority="461" operator="lessThan">
      <formula>0</formula>
    </cfRule>
  </conditionalFormatting>
  <conditionalFormatting sqref="Q129:Q130 Q132:Q135 Q143">
    <cfRule type="cellIs" dxfId="793" priority="462" operator="lessThan">
      <formula>0</formula>
    </cfRule>
  </conditionalFormatting>
  <conditionalFormatting sqref="Q141:Q142 Q144">
    <cfRule type="cellIs" dxfId="792" priority="463" operator="lessThan">
      <formula>0</formula>
    </cfRule>
  </conditionalFormatting>
  <conditionalFormatting sqref="Q141:Q142 Q144">
    <cfRule type="cellIs" dxfId="791" priority="464" operator="lessThan">
      <formula>0</formula>
    </cfRule>
  </conditionalFormatting>
  <conditionalFormatting sqref="Q146:Q150">
    <cfRule type="cellIs" dxfId="790" priority="465" operator="lessThan">
      <formula>0</formula>
    </cfRule>
  </conditionalFormatting>
  <conditionalFormatting sqref="Q146:Q150">
    <cfRule type="cellIs" dxfId="789" priority="466" operator="lessThan">
      <formula>0</formula>
    </cfRule>
  </conditionalFormatting>
  <conditionalFormatting sqref="Q136">
    <cfRule type="cellIs" dxfId="788" priority="467" operator="lessThan">
      <formula>0</formula>
    </cfRule>
  </conditionalFormatting>
  <conditionalFormatting sqref="Q137 Q139:Q140 Q145 Q151">
    <cfRule type="cellIs" dxfId="787" priority="468" operator="lessThan">
      <formula>0</formula>
    </cfRule>
  </conditionalFormatting>
  <conditionalFormatting sqref="S138 AE138">
    <cfRule type="cellIs" dxfId="786" priority="469" operator="lessThan">
      <formula>0</formula>
    </cfRule>
  </conditionalFormatting>
  <conditionalFormatting sqref="S89 AE89 S92:S93 U92 W92 Y92 AA92 AC92 AE92:AE93 AG92 S95 U95 W95 Y95 AA95 AC95 AE95 AG95 S97:S101 U97:U101 W97:W101 Y97:Y101 AA97:AA101 AC97:AC101 AE97:AE101 AG97:AG101 S104 U104 W104 Y104 AA104 AC104 AE104 AG104">
    <cfRule type="cellIs" dxfId="785" priority="470" operator="lessThan">
      <formula>0</formula>
    </cfRule>
  </conditionalFormatting>
  <conditionalFormatting sqref="S89 AE89 S92:S93 U92 W92 Y92 AA92 AC92 AE92:AE93 AG92 S95 U95 W95 Y95 AA95 AC95 AE95 AG95 S97:S101 U97:U101 W97:W101 Y97:Y101 AA97:AA101 AC97:AC101 AE97:AE101 AG97:AG101 S104 U104 W104 Y104 AA104 AC104 AE104 AG104">
    <cfRule type="cellIs" dxfId="784" priority="471" operator="lessThan">
      <formula>0</formula>
    </cfRule>
  </conditionalFormatting>
  <conditionalFormatting sqref="S108 AE108 S110 AE110">
    <cfRule type="cellIs" dxfId="783" priority="472" operator="lessThan">
      <formula>0</formula>
    </cfRule>
  </conditionalFormatting>
  <conditionalFormatting sqref="S108 AE108 S110 AE110">
    <cfRule type="cellIs" dxfId="782" priority="473" operator="lessThan">
      <formula>0</formula>
    </cfRule>
  </conditionalFormatting>
  <conditionalFormatting sqref="S129:S130 AE129:AE130 S132:S135 AE132:AE135 S143 AE143">
    <cfRule type="cellIs" dxfId="781" priority="474" operator="lessThan">
      <formula>0</formula>
    </cfRule>
  </conditionalFormatting>
  <conditionalFormatting sqref="S129:S130 AE129:AE130 S132:S135 AE132:AE135 S143 AE143">
    <cfRule type="cellIs" dxfId="780" priority="475" operator="lessThan">
      <formula>0</formula>
    </cfRule>
  </conditionalFormatting>
  <conditionalFormatting sqref="S141:S142 AE141:AE142 S144 AE144">
    <cfRule type="cellIs" dxfId="779" priority="476" operator="lessThan">
      <formula>0</formula>
    </cfRule>
  </conditionalFormatting>
  <conditionalFormatting sqref="S141:S142 AE141:AE142 S144 AE144">
    <cfRule type="cellIs" dxfId="778" priority="477" operator="lessThan">
      <formula>0</formula>
    </cfRule>
  </conditionalFormatting>
  <conditionalFormatting sqref="S146:S150 AE146:AE150">
    <cfRule type="cellIs" dxfId="777" priority="478" operator="lessThan">
      <formula>0</formula>
    </cfRule>
  </conditionalFormatting>
  <conditionalFormatting sqref="S146:S150 AE146:AE150">
    <cfRule type="cellIs" dxfId="776" priority="479" operator="lessThan">
      <formula>0</formula>
    </cfRule>
  </conditionalFormatting>
  <conditionalFormatting sqref="S136 AE136">
    <cfRule type="cellIs" dxfId="775" priority="480" operator="lessThan">
      <formula>0</formula>
    </cfRule>
  </conditionalFormatting>
  <conditionalFormatting sqref="S137 AE137 S139:S140 AE139:AE140 S145 AE145 S151 AE151">
    <cfRule type="cellIs" dxfId="774" priority="481" operator="lessThan">
      <formula>0</formula>
    </cfRule>
  </conditionalFormatting>
  <conditionalFormatting sqref="U138 W138 Y138 AA138 AC138 AG138">
    <cfRule type="cellIs" dxfId="773" priority="482" operator="lessThan">
      <formula>0</formula>
    </cfRule>
  </conditionalFormatting>
  <conditionalFormatting sqref="U89 W89 Y89 AA89 AC89 AG89 U92:U93 W92:W93 Y92:Y93 AA92:AA93 AC92:AC93 AG92:AG93 U95 W95 Y95 AA95 AC95 AG95 U97:U101 W97:W101 Y97:Y101 AA97:AA101 AC97:AC101 AG97:AG101 U104 W104 Y104 AA104 AC104 AG104">
    <cfRule type="cellIs" dxfId="772" priority="483" operator="lessThan">
      <formula>0</formula>
    </cfRule>
  </conditionalFormatting>
  <conditionalFormatting sqref="U89 W89 Y89 AA89 AC89 AG89 U92:U93 W92:W93 Y92:Y93 AA92:AA93 AC92:AC93 AG92:AG93 U95 W95 Y95 AA95 AC95 AG95 U97:U101 W97:W101 Y97:Y101 AA97:AA101 AC97:AC101 AG97:AG101 U104 W104 Y104 AA104 AC104 AG104">
    <cfRule type="cellIs" dxfId="771" priority="484" operator="lessThan">
      <formula>0</formula>
    </cfRule>
  </conditionalFormatting>
  <conditionalFormatting sqref="U108 W108 Y108 AA108 AC108 AG108 U110 W110 Y110 AA110 AC110 AG110">
    <cfRule type="cellIs" dxfId="770" priority="485" operator="lessThan">
      <formula>0</formula>
    </cfRule>
  </conditionalFormatting>
  <conditionalFormatting sqref="U108 W108 Y108 AA108 AC108 AG108 U110 W110 Y110 AA110 AC110 AG110">
    <cfRule type="cellIs" dxfId="769" priority="486" operator="lessThan">
      <formula>0</formula>
    </cfRule>
  </conditionalFormatting>
  <conditionalFormatting sqref="U129:U130 W129:W130 Y129:Y130 AA129:AA130 AC129:AC130 AG129:AG130 AE130 U132:U135 W132:W135 Y132:Y135 AA132:AA135 AC132:AC135 AG132:AG135 K134:K135 M134:M135 O134:O135 Q134:Q135 S134:S135 AE134:AE135 U143 W143 Y143 AA143 AC143 AG143">
    <cfRule type="cellIs" dxfId="768" priority="487" operator="lessThan">
      <formula>0</formula>
    </cfRule>
  </conditionalFormatting>
  <conditionalFormatting sqref="U129:U130 W129:W130 Y129:Y130 AA129:AA130 AC129:AC130 AG129:AG130 AE130 U132:U135 W132:W135 Y132:Y135 AA132:AA135 AC132:AC135 AG132:AG135 K134:K135 M134:M135 O134:O135 Q134:Q135 S134:S135 AE134:AE135 U143 W143 Y143 AA143 AC143 AG143">
    <cfRule type="cellIs" dxfId="767" priority="488" operator="lessThan">
      <formula>0</formula>
    </cfRule>
  </conditionalFormatting>
  <conditionalFormatting sqref="U141:U142 W141:W142 Y141:Y142 AA141:AA142 AC141:AC142 AG141:AG142 U144 W144 Y144 AA144 AC144 AG144">
    <cfRule type="cellIs" dxfId="766" priority="489" operator="lessThan">
      <formula>0</formula>
    </cfRule>
  </conditionalFormatting>
  <conditionalFormatting sqref="U141:U142 W141:W142 Y141:Y142 AA141:AA142 AC141:AC142 AG141:AG142 U144 W144 Y144 AA144 AC144 AG144">
    <cfRule type="cellIs" dxfId="765" priority="490" operator="lessThan">
      <formula>0</formula>
    </cfRule>
  </conditionalFormatting>
  <conditionalFormatting sqref="U146:U150 W146:W150 Y146:Y150 AA146:AA150 AC146:AC150 AG146:AG150">
    <cfRule type="cellIs" dxfId="764" priority="491" operator="lessThan">
      <formula>0</formula>
    </cfRule>
  </conditionalFormatting>
  <conditionalFormatting sqref="U146:U150 W146:W150 Y146:Y150 AA146:AA150 AC146:AC150 AG146:AG150">
    <cfRule type="cellIs" dxfId="763" priority="492" operator="lessThan">
      <formula>0</formula>
    </cfRule>
  </conditionalFormatting>
  <conditionalFormatting sqref="U136 W136 Y136 AA136 AC136 AG136">
    <cfRule type="cellIs" dxfId="762" priority="493" operator="lessThan">
      <formula>0</formula>
    </cfRule>
  </conditionalFormatting>
  <conditionalFormatting sqref="U137 W137 Y137 AA137 AC137 AG137 U139:U140 W139:W140 Y139:Y140 AA139:AA140 AC139:AC140 AG139:AG140 U145 W145 Y145 AA145 AC145 AG145 U151 W151 Y151 AA151 AC151 AG151">
    <cfRule type="cellIs" dxfId="761" priority="494" operator="lessThan">
      <formula>0</formula>
    </cfRule>
  </conditionalFormatting>
  <conditionalFormatting sqref="F107:K107">
    <cfRule type="cellIs" dxfId="760" priority="495" operator="lessThan">
      <formula>0</formula>
    </cfRule>
  </conditionalFormatting>
  <conditionalFormatting sqref="H107:I107 L107:M107">
    <cfRule type="cellIs" dxfId="759" priority="496" operator="lessThan">
      <formula>0</formula>
    </cfRule>
  </conditionalFormatting>
  <conditionalFormatting sqref="N107:O107">
    <cfRule type="cellIs" dxfId="758" priority="497" operator="lessThan">
      <formula>0</formula>
    </cfRule>
  </conditionalFormatting>
  <conditionalFormatting sqref="P107:Q107">
    <cfRule type="cellIs" dxfId="757" priority="498" operator="lessThan">
      <formula>0</formula>
    </cfRule>
  </conditionalFormatting>
  <conditionalFormatting sqref="R107:S107 AD107:AE107">
    <cfRule type="cellIs" dxfId="756" priority="499" operator="lessThan">
      <formula>0</formula>
    </cfRule>
  </conditionalFormatting>
  <conditionalFormatting sqref="T107:AG107">
    <cfRule type="cellIs" dxfId="755" priority="500" operator="lessThan">
      <formula>0</formula>
    </cfRule>
  </conditionalFormatting>
  <conditionalFormatting sqref="F111:K111">
    <cfRule type="cellIs" dxfId="754" priority="501" operator="lessThan">
      <formula>0</formula>
    </cfRule>
  </conditionalFormatting>
  <conditionalFormatting sqref="F126:K128 L127:L128 N127:N128 P127:P128 R127:R128 T127:T128 V127:V128 X127:X128 Z127:Z128 AB127:AB128 AD127:AD128 AF127:AF128 AH127">
    <cfRule type="cellIs" dxfId="753" priority="502" operator="lessThan">
      <formula>0</formula>
    </cfRule>
  </conditionalFormatting>
  <conditionalFormatting sqref="F112:J115 L112:L115 N112:N115 P112:P115 R112:R115 T112:T115 V112:V115 X112:X115 Z112:Z115 AB112:AB115 AD112:AD115 AF112:AF115 F117:J125 L117:L125 N117:N125 P117:P125 R117:R125 T117:T125 V117:V125 X117:X125 Z117:Z125 AB117:AB125 AD117:AD125 AF117:AF125 F130:J130 L130 N130 P130 R130 T130 V130 X130 Z130 AB130 AD130 AF130">
    <cfRule type="cellIs" dxfId="752" priority="503" operator="lessThan">
      <formula>0</formula>
    </cfRule>
  </conditionalFormatting>
  <conditionalFormatting sqref="G112:G125 I112:I125 K112:K125 M112:M125 O112:O125 Q112:Q125 S112:S125 U112:U125 W112:W125 Y112:Y125 AA112:AA125 AC112:AC125 AE112:AE125 AG112:AG125">
    <cfRule type="cellIs" dxfId="751" priority="504" operator="lessThan">
      <formula>0</formula>
    </cfRule>
  </conditionalFormatting>
  <conditionalFormatting sqref="G112:G125 I112:I125 K112:K125 M112:M125 O112:O125 Q112:Q125 S112:S125 U112:U125 W112:W125 Y112:Y125 AA112:AA125 AC112:AC125 AE112:AE125 AG112:AG125">
    <cfRule type="cellIs" dxfId="750" priority="505" operator="lessThan">
      <formula>0</formula>
    </cfRule>
  </conditionalFormatting>
  <conditionalFormatting sqref="H111:I111 L111:M111">
    <cfRule type="cellIs" dxfId="749" priority="506" operator="lessThan">
      <formula>0</formula>
    </cfRule>
  </conditionalFormatting>
  <conditionalFormatting sqref="H126:I126 L126:M128">
    <cfRule type="cellIs" dxfId="748" priority="507" operator="lessThan">
      <formula>0</formula>
    </cfRule>
  </conditionalFormatting>
  <conditionalFormatting sqref="H112:H115 L112:L115 H117:H125 L117:L125">
    <cfRule type="cellIs" dxfId="747" priority="508" operator="lessThan">
      <formula>0</formula>
    </cfRule>
  </conditionalFormatting>
  <conditionalFormatting sqref="I112:I125 M112:M125">
    <cfRule type="cellIs" dxfId="746" priority="509" operator="lessThan">
      <formula>0</formula>
    </cfRule>
  </conditionalFormatting>
  <conditionalFormatting sqref="I112:I125 M112:M125">
    <cfRule type="cellIs" dxfId="745" priority="510" operator="lessThan">
      <formula>0</formula>
    </cfRule>
  </conditionalFormatting>
  <conditionalFormatting sqref="N111:O111">
    <cfRule type="cellIs" dxfId="744" priority="511" operator="lessThan">
      <formula>0</formula>
    </cfRule>
  </conditionalFormatting>
  <conditionalFormatting sqref="N126:O128">
    <cfRule type="cellIs" dxfId="743" priority="512" operator="lessThan">
      <formula>0</formula>
    </cfRule>
  </conditionalFormatting>
  <conditionalFormatting sqref="N112:N115 N117:N125">
    <cfRule type="cellIs" dxfId="742" priority="513" operator="lessThan">
      <formula>0</formula>
    </cfRule>
  </conditionalFormatting>
  <conditionalFormatting sqref="O112:O125">
    <cfRule type="cellIs" dxfId="741" priority="514" operator="lessThan">
      <formula>0</formula>
    </cfRule>
  </conditionalFormatting>
  <conditionalFormatting sqref="O112:O125">
    <cfRule type="cellIs" dxfId="740" priority="515" operator="lessThan">
      <formula>0</formula>
    </cfRule>
  </conditionalFormatting>
  <conditionalFormatting sqref="P111:Q111">
    <cfRule type="cellIs" dxfId="739" priority="516" operator="lessThan">
      <formula>0</formula>
    </cfRule>
  </conditionalFormatting>
  <conditionalFormatting sqref="P126:Q128">
    <cfRule type="cellIs" dxfId="738" priority="517" operator="lessThan">
      <formula>0</formula>
    </cfRule>
  </conditionalFormatting>
  <conditionalFormatting sqref="P112:P115 P117:P125">
    <cfRule type="cellIs" dxfId="737" priority="518" operator="lessThan">
      <formula>0</formula>
    </cfRule>
  </conditionalFormatting>
  <conditionalFormatting sqref="Q112:Q125">
    <cfRule type="cellIs" dxfId="736" priority="519" operator="lessThan">
      <formula>0</formula>
    </cfRule>
  </conditionalFormatting>
  <conditionalFormatting sqref="Q112:Q125">
    <cfRule type="cellIs" dxfId="735" priority="520" operator="lessThan">
      <formula>0</formula>
    </cfRule>
  </conditionalFormatting>
  <conditionalFormatting sqref="R111:S111 AD111:AE111">
    <cfRule type="cellIs" dxfId="734" priority="521" operator="lessThan">
      <formula>0</formula>
    </cfRule>
  </conditionalFormatting>
  <conditionalFormatting sqref="R126:S128 AD126:AE128">
    <cfRule type="cellIs" dxfId="733" priority="522" operator="lessThan">
      <formula>0</formula>
    </cfRule>
  </conditionalFormatting>
  <conditionalFormatting sqref="R112:R115 AD112:AD115 R117:R125 AD117:AD125">
    <cfRule type="cellIs" dxfId="732" priority="523" operator="lessThan">
      <formula>0</formula>
    </cfRule>
  </conditionalFormatting>
  <conditionalFormatting sqref="S112:S125 AE112:AE125">
    <cfRule type="cellIs" dxfId="731" priority="524" operator="lessThan">
      <formula>0</formula>
    </cfRule>
  </conditionalFormatting>
  <conditionalFormatting sqref="S112:S125 AE112:AE125">
    <cfRule type="cellIs" dxfId="730" priority="525" operator="lessThan">
      <formula>0</formula>
    </cfRule>
  </conditionalFormatting>
  <conditionalFormatting sqref="T111:AG111">
    <cfRule type="cellIs" dxfId="729" priority="526" operator="lessThan">
      <formula>0</formula>
    </cfRule>
  </conditionalFormatting>
  <conditionalFormatting sqref="T126:AG128">
    <cfRule type="cellIs" dxfId="728" priority="527" operator="lessThan">
      <formula>0</formula>
    </cfRule>
  </conditionalFormatting>
  <conditionalFormatting sqref="T112:V115 X112:X115 Z112:Z115 AB112:AF115 T117:V125 X117:X125 Z117:Z125 AB117:AF125">
    <cfRule type="cellIs" dxfId="727" priority="528" operator="lessThan">
      <formula>0</formula>
    </cfRule>
  </conditionalFormatting>
  <conditionalFormatting sqref="U112:U125 W112:W125 Y112:Y125 AA112:AA125 AC112:AC125 AG112:AG125">
    <cfRule type="cellIs" dxfId="726" priority="529" operator="lessThan">
      <formula>0</formula>
    </cfRule>
  </conditionalFormatting>
  <conditionalFormatting sqref="U112:U125 W112:W125 Y112:Y125 AA112:AA125 AC112:AC125 AG112:AG125">
    <cfRule type="cellIs" dxfId="725" priority="530" operator="lessThan">
      <formula>0</formula>
    </cfRule>
  </conditionalFormatting>
  <conditionalFormatting sqref="F146:J147">
    <cfRule type="cellIs" dxfId="724" priority="531" operator="lessThan">
      <formula>0</formula>
    </cfRule>
  </conditionalFormatting>
  <conditionalFormatting sqref="F136:J136">
    <cfRule type="cellIs" dxfId="723" priority="532" operator="lessThan">
      <formula>0</formula>
    </cfRule>
  </conditionalFormatting>
  <conditionalFormatting sqref="F138:J138">
    <cfRule type="cellIs" dxfId="722" priority="533" operator="lessThan">
      <formula>0</formula>
    </cfRule>
  </conditionalFormatting>
  <conditionalFormatting sqref="F137:J137 F139:J140 F145:J145 F149:J151">
    <cfRule type="cellIs" dxfId="721" priority="534" operator="lessThan">
      <formula>0</formula>
    </cfRule>
  </conditionalFormatting>
  <conditionalFormatting sqref="F148:J148">
    <cfRule type="cellIs" dxfId="720" priority="535" operator="lessThan">
      <formula>0</formula>
    </cfRule>
  </conditionalFormatting>
  <conditionalFormatting sqref="F142:J142 F144:J144">
    <cfRule type="cellIs" dxfId="719" priority="536" operator="lessThan">
      <formula>0</formula>
    </cfRule>
  </conditionalFormatting>
  <conditionalFormatting sqref="F141:J141">
    <cfRule type="cellIs" dxfId="718" priority="537" operator="lessThan">
      <formula>0</formula>
    </cfRule>
  </conditionalFormatting>
  <conditionalFormatting sqref="H146:H147 L146:L147">
    <cfRule type="cellIs" dxfId="717" priority="538" operator="lessThan">
      <formula>0</formula>
    </cfRule>
  </conditionalFormatting>
  <conditionalFormatting sqref="L136">
    <cfRule type="cellIs" dxfId="716" priority="539" operator="lessThan">
      <formula>0</formula>
    </cfRule>
  </conditionalFormatting>
  <conditionalFormatting sqref="L138">
    <cfRule type="cellIs" dxfId="715" priority="540" operator="lessThan">
      <formula>0</formula>
    </cfRule>
  </conditionalFormatting>
  <conditionalFormatting sqref="L137 L139:L140 H140 H145 L145 H149:H151 L149:L151">
    <cfRule type="cellIs" dxfId="714" priority="541" operator="lessThan">
      <formula>0</formula>
    </cfRule>
  </conditionalFormatting>
  <conditionalFormatting sqref="H148 L148">
    <cfRule type="cellIs" dxfId="713" priority="542" operator="lessThan">
      <formula>0</formula>
    </cfRule>
  </conditionalFormatting>
  <conditionalFormatting sqref="H142 L142 H144 L144">
    <cfRule type="cellIs" dxfId="712" priority="543" operator="lessThan">
      <formula>0</formula>
    </cfRule>
  </conditionalFormatting>
  <conditionalFormatting sqref="H141 L141">
    <cfRule type="cellIs" dxfId="711" priority="544" operator="lessThan">
      <formula>0</formula>
    </cfRule>
  </conditionalFormatting>
  <conditionalFormatting sqref="N146:N147">
    <cfRule type="cellIs" dxfId="710" priority="545" operator="lessThan">
      <formula>0</formula>
    </cfRule>
  </conditionalFormatting>
  <conditionalFormatting sqref="N136">
    <cfRule type="cellIs" dxfId="709" priority="546" operator="lessThan">
      <formula>0</formula>
    </cfRule>
  </conditionalFormatting>
  <conditionalFormatting sqref="N138">
    <cfRule type="cellIs" dxfId="708" priority="547" operator="lessThan">
      <formula>0</formula>
    </cfRule>
  </conditionalFormatting>
  <conditionalFormatting sqref="N137 N139:N140 N145 N149:N151">
    <cfRule type="cellIs" dxfId="707" priority="548" operator="lessThan">
      <formula>0</formula>
    </cfRule>
  </conditionalFormatting>
  <conditionalFormatting sqref="N148">
    <cfRule type="cellIs" dxfId="706" priority="549" operator="lessThan">
      <formula>0</formula>
    </cfRule>
  </conditionalFormatting>
  <conditionalFormatting sqref="N142 N144">
    <cfRule type="cellIs" dxfId="705" priority="550" operator="lessThan">
      <formula>0</formula>
    </cfRule>
  </conditionalFormatting>
  <conditionalFormatting sqref="N141">
    <cfRule type="cellIs" dxfId="704" priority="551" operator="lessThan">
      <formula>0</formula>
    </cfRule>
  </conditionalFormatting>
  <conditionalFormatting sqref="P146:P147">
    <cfRule type="cellIs" dxfId="703" priority="552" operator="lessThan">
      <formula>0</formula>
    </cfRule>
  </conditionalFormatting>
  <conditionalFormatting sqref="P136">
    <cfRule type="cellIs" dxfId="702" priority="553" operator="lessThan">
      <formula>0</formula>
    </cfRule>
  </conditionalFormatting>
  <conditionalFormatting sqref="P138">
    <cfRule type="cellIs" dxfId="701" priority="554" operator="lessThan">
      <formula>0</formula>
    </cfRule>
  </conditionalFormatting>
  <conditionalFormatting sqref="P137 P139:P140 P145 P149:P151">
    <cfRule type="cellIs" dxfId="700" priority="555" operator="lessThan">
      <formula>0</formula>
    </cfRule>
  </conditionalFormatting>
  <conditionalFormatting sqref="P148">
    <cfRule type="cellIs" dxfId="699" priority="556" operator="lessThan">
      <formula>0</formula>
    </cfRule>
  </conditionalFormatting>
  <conditionalFormatting sqref="P142 P144">
    <cfRule type="cellIs" dxfId="698" priority="557" operator="lessThan">
      <formula>0</formula>
    </cfRule>
  </conditionalFormatting>
  <conditionalFormatting sqref="P141">
    <cfRule type="cellIs" dxfId="697" priority="558" operator="lessThan">
      <formula>0</formula>
    </cfRule>
  </conditionalFormatting>
  <conditionalFormatting sqref="R146:R147 AD146:AD147">
    <cfRule type="cellIs" dxfId="696" priority="559" operator="lessThan">
      <formula>0</formula>
    </cfRule>
  </conditionalFormatting>
  <conditionalFormatting sqref="R136 AD136">
    <cfRule type="cellIs" dxfId="695" priority="560" operator="lessThan">
      <formula>0</formula>
    </cfRule>
  </conditionalFormatting>
  <conditionalFormatting sqref="R138 AD138">
    <cfRule type="cellIs" dxfId="694" priority="561" operator="lessThan">
      <formula>0</formula>
    </cfRule>
  </conditionalFormatting>
  <conditionalFormatting sqref="R137 AD137 R139:R140 AD139:AD140 R145 AD145 R149:R151 AD149:AD151">
    <cfRule type="cellIs" dxfId="693" priority="562" operator="lessThan">
      <formula>0</formula>
    </cfRule>
  </conditionalFormatting>
  <conditionalFormatting sqref="R148 AD148">
    <cfRule type="cellIs" dxfId="692" priority="563" operator="lessThan">
      <formula>0</formula>
    </cfRule>
  </conditionalFormatting>
  <conditionalFormatting sqref="R142 AD142 R144 AD144">
    <cfRule type="cellIs" dxfId="691" priority="564" operator="lessThan">
      <formula>0</formula>
    </cfRule>
  </conditionalFormatting>
  <conditionalFormatting sqref="R141 AD141">
    <cfRule type="cellIs" dxfId="690" priority="565" operator="lessThan">
      <formula>0</formula>
    </cfRule>
  </conditionalFormatting>
  <conditionalFormatting sqref="T146:V147 X146:X147 Z146:Z147 AB146:AF147">
    <cfRule type="cellIs" dxfId="689" priority="566" operator="lessThan">
      <formula>0</formula>
    </cfRule>
  </conditionalFormatting>
  <conditionalFormatting sqref="T136:V136 X136 Z136 AB136:AF136">
    <cfRule type="cellIs" dxfId="688" priority="567" operator="lessThan">
      <formula>0</formula>
    </cfRule>
  </conditionalFormatting>
  <conditionalFormatting sqref="T138:V138 X138 Z138 AB138:AF138 AH138">
    <cfRule type="cellIs" dxfId="687" priority="568" operator="lessThan">
      <formula>0</formula>
    </cfRule>
  </conditionalFormatting>
  <conditionalFormatting sqref="T137:V137 X137 Z137 AB137:AF137 T139:V140 X139:X140 Z139:Z140 AB139:AF140 AH140 T145:V145 X145 Z145 AB145:AF145 T149:V151 X149:X151 Z149:Z151 AB149:AF151">
    <cfRule type="cellIs" dxfId="686" priority="569" operator="lessThan">
      <formula>0</formula>
    </cfRule>
  </conditionalFormatting>
  <conditionalFormatting sqref="T148:V148 X148 Z148 AB148:AF148">
    <cfRule type="cellIs" dxfId="685" priority="570" operator="lessThan">
      <formula>0</formula>
    </cfRule>
  </conditionalFormatting>
  <conditionalFormatting sqref="T142:V142 X142 Z142 AB142:AF142 T144:V144 X144 Z144 AB144:AF144">
    <cfRule type="cellIs" dxfId="684" priority="571" operator="lessThan">
      <formula>0</formula>
    </cfRule>
  </conditionalFormatting>
  <conditionalFormatting sqref="T141:V141 X141 Z141 AB141:AF141">
    <cfRule type="cellIs" dxfId="683" priority="572" operator="lessThan">
      <formula>0</formula>
    </cfRule>
  </conditionalFormatting>
  <conditionalFormatting sqref="X29:AH29">
    <cfRule type="cellIs" dxfId="682" priority="573" operator="lessThan">
      <formula>0</formula>
    </cfRule>
  </conditionalFormatting>
  <conditionalFormatting sqref="X18:AP18 X20:AH24 X26:AH27 X42:AH42 X65:AH69 X108:AH110">
    <cfRule type="cellIs" dxfId="681" priority="574" operator="lessThan">
      <formula>0</formula>
    </cfRule>
  </conditionalFormatting>
  <conditionalFormatting sqref="X19:AH27 AH30:AH38 AH43:AH51 AH53:AH62 AH64:AH69 AH71:AH78 AH80:AH83 AH85:AH87 AH89:AH106 AH108:AH110 AH112:AH125 AH127:AH135 AH141:AH144 AH146:AH150">
    <cfRule type="cellIs" dxfId="680" priority="575" operator="lessThan">
      <formula>0</formula>
    </cfRule>
  </conditionalFormatting>
  <conditionalFormatting sqref="X25:Y26 Z25:Z27 AA25:AA26 AB25:AB27 AC25:AC26 AD25:AD27 AE25:AE26 AF25:AF27 AG25:AH26">
    <cfRule type="cellIs" dxfId="679" priority="576" operator="lessThan">
      <formula>0</formula>
    </cfRule>
  </conditionalFormatting>
  <conditionalFormatting sqref="X28:AH28">
    <cfRule type="cellIs" dxfId="678" priority="577" operator="lessThan">
      <formula>0</formula>
    </cfRule>
  </conditionalFormatting>
  <conditionalFormatting sqref="X40:AH41">
    <cfRule type="cellIs" dxfId="677" priority="578" operator="lessThan">
      <formula>0</formula>
    </cfRule>
  </conditionalFormatting>
  <conditionalFormatting sqref="AI52:AP52">
    <cfRule type="cellIs" dxfId="676" priority="579" operator="lessThan">
      <formula>0</formula>
    </cfRule>
  </conditionalFormatting>
  <conditionalFormatting sqref="X52:AH52">
    <cfRule type="cellIs" dxfId="675" priority="580" operator="lessThan">
      <formula>0</formula>
    </cfRule>
  </conditionalFormatting>
  <conditionalFormatting sqref="X70:AH70">
    <cfRule type="cellIs" dxfId="674" priority="581" operator="lessThan">
      <formula>0</formula>
    </cfRule>
  </conditionalFormatting>
  <conditionalFormatting sqref="X79:AP79">
    <cfRule type="cellIs" dxfId="673" priority="582" operator="lessThan">
      <formula>0</formula>
    </cfRule>
  </conditionalFormatting>
  <conditionalFormatting sqref="X84:AP84">
    <cfRule type="cellIs" dxfId="672" priority="583" operator="lessThan">
      <formula>0</formula>
    </cfRule>
  </conditionalFormatting>
  <conditionalFormatting sqref="X88:AP88">
    <cfRule type="cellIs" dxfId="671" priority="584" operator="lessThan">
      <formula>0</formula>
    </cfRule>
  </conditionalFormatting>
  <conditionalFormatting sqref="AI71:AP78">
    <cfRule type="cellIs" dxfId="670" priority="585" operator="lessThan">
      <formula>0</formula>
    </cfRule>
  </conditionalFormatting>
  <conditionalFormatting sqref="AI71:AP78">
    <cfRule type="cellIs" dxfId="669" priority="586" operator="lessThan">
      <formula>0</formula>
    </cfRule>
  </conditionalFormatting>
  <conditionalFormatting sqref="AI80:AP83">
    <cfRule type="cellIs" dxfId="668" priority="587" operator="lessThan">
      <formula>0</formula>
    </cfRule>
  </conditionalFormatting>
  <conditionalFormatting sqref="AI80:AP83">
    <cfRule type="cellIs" dxfId="667" priority="588" operator="lessThan">
      <formula>0</formula>
    </cfRule>
  </conditionalFormatting>
  <conditionalFormatting sqref="AI85:AP87">
    <cfRule type="cellIs" dxfId="666" priority="589" operator="lessThan">
      <formula>0</formula>
    </cfRule>
  </conditionalFormatting>
  <conditionalFormatting sqref="AI85:AP87">
    <cfRule type="cellIs" dxfId="665" priority="590" operator="lessThan">
      <formula>0</formula>
    </cfRule>
  </conditionalFormatting>
  <conditionalFormatting sqref="AI65:AP69">
    <cfRule type="cellIs" dxfId="664" priority="591" operator="lessThan">
      <formula>0</formula>
    </cfRule>
  </conditionalFormatting>
  <conditionalFormatting sqref="AI65:AP69">
    <cfRule type="cellIs" dxfId="663" priority="592" operator="lessThan">
      <formula>0</formula>
    </cfRule>
  </conditionalFormatting>
  <conditionalFormatting sqref="AI53:AP62 AI64:AP64">
    <cfRule type="cellIs" dxfId="662" priority="593" operator="lessThan">
      <formula>0</formula>
    </cfRule>
  </conditionalFormatting>
  <conditionalFormatting sqref="AI63:AP63">
    <cfRule type="cellIs" dxfId="661" priority="594" operator="lessThan">
      <formula>0</formula>
    </cfRule>
  </conditionalFormatting>
  <conditionalFormatting sqref="AI55:AP62 AI64:AP64">
    <cfRule type="cellIs" dxfId="660" priority="595" operator="lessThan">
      <formula>0</formula>
    </cfRule>
  </conditionalFormatting>
  <conditionalFormatting sqref="AI70:AP70">
    <cfRule type="cellIs" dxfId="659" priority="596" operator="lessThan">
      <formula>0</formula>
    </cfRule>
  </conditionalFormatting>
  <conditionalFormatting sqref="X63:AH63">
    <cfRule type="cellIs" dxfId="658" priority="597" operator="lessThan">
      <formula>0</formula>
    </cfRule>
  </conditionalFormatting>
  <conditionalFormatting sqref="AI138:AP138">
    <cfRule type="cellIs" dxfId="657" priority="598" operator="lessThan">
      <formula>0</formula>
    </cfRule>
  </conditionalFormatting>
  <conditionalFormatting sqref="AI89:AP106">
    <cfRule type="cellIs" dxfId="656" priority="599" operator="lessThan">
      <formula>0</formula>
    </cfRule>
  </conditionalFormatting>
  <conditionalFormatting sqref="AI89:AP106">
    <cfRule type="cellIs" dxfId="655" priority="600" operator="lessThan">
      <formula>0</formula>
    </cfRule>
  </conditionalFormatting>
  <conditionalFormatting sqref="AI108:AP110">
    <cfRule type="cellIs" dxfId="654" priority="601" operator="lessThan">
      <formula>0</formula>
    </cfRule>
  </conditionalFormatting>
  <conditionalFormatting sqref="AI108:AP110">
    <cfRule type="cellIs" dxfId="653" priority="602" operator="lessThan">
      <formula>0</formula>
    </cfRule>
  </conditionalFormatting>
  <conditionalFormatting sqref="AI129:AP135 AI143:AP143">
    <cfRule type="cellIs" dxfId="652" priority="603" operator="lessThan">
      <formula>0</formula>
    </cfRule>
  </conditionalFormatting>
  <conditionalFormatting sqref="AI129:AP135 AI143:AP143">
    <cfRule type="cellIs" dxfId="651" priority="604" operator="lessThan">
      <formula>0</formula>
    </cfRule>
  </conditionalFormatting>
  <conditionalFormatting sqref="AI141:AP142 AI144:AP144">
    <cfRule type="cellIs" dxfId="650" priority="605" operator="lessThan">
      <formula>0</formula>
    </cfRule>
  </conditionalFormatting>
  <conditionalFormatting sqref="AI141:AP142 AI144:AP144">
    <cfRule type="cellIs" dxfId="649" priority="606" operator="lessThan">
      <formula>0</formula>
    </cfRule>
  </conditionalFormatting>
  <conditionalFormatting sqref="AI146:AP150">
    <cfRule type="cellIs" dxfId="648" priority="607" operator="lessThan">
      <formula>0</formula>
    </cfRule>
  </conditionalFormatting>
  <conditionalFormatting sqref="AI146:AP150">
    <cfRule type="cellIs" dxfId="647" priority="608" operator="lessThan">
      <formula>0</formula>
    </cfRule>
  </conditionalFormatting>
  <conditionalFormatting sqref="AI136:AP136">
    <cfRule type="cellIs" dxfId="646" priority="609" operator="lessThan">
      <formula>0</formula>
    </cfRule>
  </conditionalFormatting>
  <conditionalFormatting sqref="AI137:AP137 AI139:AP140 AI145:AP145 AI151:AP151">
    <cfRule type="cellIs" dxfId="645" priority="610" operator="lessThan">
      <formula>0</formula>
    </cfRule>
  </conditionalFormatting>
  <conditionalFormatting sqref="X107:AP107">
    <cfRule type="cellIs" dxfId="644" priority="611" operator="lessThan">
      <formula>0</formula>
    </cfRule>
  </conditionalFormatting>
  <conditionalFormatting sqref="X111:AP111">
    <cfRule type="cellIs" dxfId="643" priority="612" operator="lessThan">
      <formula>0</formula>
    </cfRule>
  </conditionalFormatting>
  <conditionalFormatting sqref="X126:AG128 AH126:AH135 AI126:AP128">
    <cfRule type="cellIs" dxfId="642" priority="613" operator="lessThan">
      <formula>0</formula>
    </cfRule>
  </conditionalFormatting>
  <conditionalFormatting sqref="AI112:AP125">
    <cfRule type="cellIs" dxfId="641" priority="614" operator="lessThan">
      <formula>0</formula>
    </cfRule>
  </conditionalFormatting>
  <conditionalFormatting sqref="AI112:AP125">
    <cfRule type="cellIs" dxfId="640" priority="615" operator="lessThan">
      <formula>0</formula>
    </cfRule>
  </conditionalFormatting>
  <conditionalFormatting sqref="X136:AH136">
    <cfRule type="cellIs" dxfId="639" priority="616" operator="lessThan">
      <formula>0</formula>
    </cfRule>
  </conditionalFormatting>
  <conditionalFormatting sqref="X138:AH138">
    <cfRule type="cellIs" dxfId="638" priority="617" operator="lessThan">
      <formula>0</formula>
    </cfRule>
  </conditionalFormatting>
  <conditionalFormatting sqref="X137:AH137 X139:AH140 X145:AH145 X151:AH151">
    <cfRule type="cellIs" dxfId="637" priority="618" operator="lessThan">
      <formula>0</formula>
    </cfRule>
  </conditionalFormatting>
  <conditionalFormatting sqref="X30:AH39">
    <cfRule type="cellIs" dxfId="636" priority="619" operator="lessThan">
      <formula>0</formula>
    </cfRule>
  </conditionalFormatting>
  <conditionalFormatting sqref="X30:AH39">
    <cfRule type="cellIs" dxfId="635" priority="620" operator="lessThan">
      <formula>0</formula>
    </cfRule>
  </conditionalFormatting>
  <conditionalFormatting sqref="X43:AH51">
    <cfRule type="cellIs" dxfId="634" priority="621" operator="lessThan">
      <formula>0</formula>
    </cfRule>
  </conditionalFormatting>
  <conditionalFormatting sqref="X43:AH51">
    <cfRule type="cellIs" dxfId="633" priority="622" operator="lessThan">
      <formula>0</formula>
    </cfRule>
  </conditionalFormatting>
  <conditionalFormatting sqref="X53:AH62 X64:AH69 AH71:AH78 AH80:AH83 AH85:AH87 AH89:AH106 AH108:AH110 AH112:AH125 AH127:AH135 AH141:AH144 AH146:AH150">
    <cfRule type="cellIs" dxfId="632" priority="623" operator="lessThan">
      <formula>0</formula>
    </cfRule>
  </conditionalFormatting>
  <conditionalFormatting sqref="X53:AH62 X64:AH69 AH71:AH78 AH80:AH83 AH85:AH87 AH89:AH106 AH108:AH110 AH112:AH125 AH127:AH135 AH141:AH144 AH146:AH150">
    <cfRule type="cellIs" dxfId="631" priority="624" operator="lessThan">
      <formula>0</formula>
    </cfRule>
  </conditionalFormatting>
  <conditionalFormatting sqref="X65:AH69">
    <cfRule type="cellIs" dxfId="630" priority="625" operator="lessThan">
      <formula>0</formula>
    </cfRule>
  </conditionalFormatting>
  <conditionalFormatting sqref="X71:AH78">
    <cfRule type="cellIs" dxfId="629" priority="626" operator="lessThan">
      <formula>0</formula>
    </cfRule>
  </conditionalFormatting>
  <conditionalFormatting sqref="X71:AH78">
    <cfRule type="cellIs" dxfId="628" priority="627" operator="lessThan">
      <formula>0</formula>
    </cfRule>
  </conditionalFormatting>
  <conditionalFormatting sqref="X80:AH83">
    <cfRule type="cellIs" dxfId="627" priority="628" operator="lessThan">
      <formula>0</formula>
    </cfRule>
  </conditionalFormatting>
  <conditionalFormatting sqref="X80:AH83">
    <cfRule type="cellIs" dxfId="626" priority="629" operator="lessThan">
      <formula>0</formula>
    </cfRule>
  </conditionalFormatting>
  <conditionalFormatting sqref="X85:AH87">
    <cfRule type="cellIs" dxfId="625" priority="630" operator="lessThan">
      <formula>0</formula>
    </cfRule>
  </conditionalFormatting>
  <conditionalFormatting sqref="X85:AH87">
    <cfRule type="cellIs" dxfId="624" priority="631" operator="lessThan">
      <formula>0</formula>
    </cfRule>
  </conditionalFormatting>
  <conditionalFormatting sqref="X89:AH106">
    <cfRule type="cellIs" dxfId="623" priority="632" operator="lessThan">
      <formula>0</formula>
    </cfRule>
  </conditionalFormatting>
  <conditionalFormatting sqref="X89:AH106">
    <cfRule type="cellIs" dxfId="622" priority="633" operator="lessThan">
      <formula>0</formula>
    </cfRule>
  </conditionalFormatting>
  <conditionalFormatting sqref="X108:AH110">
    <cfRule type="cellIs" dxfId="621" priority="634" operator="lessThan">
      <formula>0</formula>
    </cfRule>
  </conditionalFormatting>
  <conditionalFormatting sqref="X112:AH125">
    <cfRule type="cellIs" dxfId="620" priority="635" operator="lessThan">
      <formula>0</formula>
    </cfRule>
  </conditionalFormatting>
  <conditionalFormatting sqref="X112:AH125">
    <cfRule type="cellIs" dxfId="619" priority="636" operator="lessThan">
      <formula>0</formula>
    </cfRule>
  </conditionalFormatting>
  <conditionalFormatting sqref="X129:AH135 X143:AH143">
    <cfRule type="cellIs" dxfId="618" priority="637" operator="lessThan">
      <formula>0</formula>
    </cfRule>
  </conditionalFormatting>
  <conditionalFormatting sqref="X129:AH135 X143:AH143">
    <cfRule type="cellIs" dxfId="617" priority="638" operator="lessThan">
      <formula>0</formula>
    </cfRule>
  </conditionalFormatting>
  <conditionalFormatting sqref="X141:AH144">
    <cfRule type="cellIs" dxfId="616" priority="639" operator="lessThan">
      <formula>0</formula>
    </cfRule>
  </conditionalFormatting>
  <conditionalFormatting sqref="X141:AH144">
    <cfRule type="cellIs" dxfId="615" priority="640" operator="lessThan">
      <formula>0</formula>
    </cfRule>
  </conditionalFormatting>
  <conditionalFormatting sqref="X146:AH150">
    <cfRule type="cellIs" dxfId="614" priority="641" operator="lessThan">
      <formula>0</formula>
    </cfRule>
  </conditionalFormatting>
  <conditionalFormatting sqref="X146:AH150">
    <cfRule type="cellIs" dxfId="613" priority="642" operator="lessThan">
      <formula>0</formula>
    </cfRule>
  </conditionalFormatting>
  <conditionalFormatting sqref="F62:J62">
    <cfRule type="cellIs" dxfId="612" priority="643" operator="lessThan">
      <formula>0</formula>
    </cfRule>
  </conditionalFormatting>
  <conditionalFormatting sqref="F62:J62">
    <cfRule type="cellIs" dxfId="611" priority="644" operator="lessThan">
      <formula>0</formula>
    </cfRule>
  </conditionalFormatting>
  <conditionalFormatting sqref="H62 L62">
    <cfRule type="cellIs" dxfId="610" priority="645" operator="lessThan">
      <formula>0</formula>
    </cfRule>
  </conditionalFormatting>
  <conditionalFormatting sqref="H62 L62">
    <cfRule type="cellIs" dxfId="609" priority="646" operator="lessThan">
      <formula>0</formula>
    </cfRule>
  </conditionalFormatting>
  <conditionalFormatting sqref="N62">
    <cfRule type="cellIs" dxfId="608" priority="647" operator="lessThan">
      <formula>0</formula>
    </cfRule>
  </conditionalFormatting>
  <conditionalFormatting sqref="N62">
    <cfRule type="cellIs" dxfId="607" priority="648" operator="lessThan">
      <formula>0</formula>
    </cfRule>
  </conditionalFormatting>
  <conditionalFormatting sqref="P62">
    <cfRule type="cellIs" dxfId="606" priority="649" operator="lessThan">
      <formula>0</formula>
    </cfRule>
  </conditionalFormatting>
  <conditionalFormatting sqref="P62">
    <cfRule type="cellIs" dxfId="605" priority="650" operator="lessThan">
      <formula>0</formula>
    </cfRule>
  </conditionalFormatting>
  <conditionalFormatting sqref="R62 AD62">
    <cfRule type="cellIs" dxfId="604" priority="651" operator="lessThan">
      <formula>0</formula>
    </cfRule>
  </conditionalFormatting>
  <conditionalFormatting sqref="R62 AD62">
    <cfRule type="cellIs" dxfId="603" priority="652" operator="lessThan">
      <formula>0</formula>
    </cfRule>
  </conditionalFormatting>
  <conditionalFormatting sqref="T62:V62 X62 Z62 AB62:AF62">
    <cfRule type="cellIs" dxfId="602" priority="653" operator="lessThan">
      <formula>0</formula>
    </cfRule>
  </conditionalFormatting>
  <conditionalFormatting sqref="T62:V62 X62 Z62 AB62:AF62">
    <cfRule type="cellIs" dxfId="601" priority="654" operator="lessThan">
      <formula>0</formula>
    </cfRule>
  </conditionalFormatting>
  <conditionalFormatting sqref="G62 K62">
    <cfRule type="cellIs" dxfId="600" priority="655" operator="lessThan">
      <formula>0</formula>
    </cfRule>
  </conditionalFormatting>
  <conditionalFormatting sqref="G62 K62">
    <cfRule type="cellIs" dxfId="599" priority="656" operator="lessThan">
      <formula>0</formula>
    </cfRule>
  </conditionalFormatting>
  <conditionalFormatting sqref="I62 M62">
    <cfRule type="cellIs" dxfId="598" priority="657" operator="lessThan">
      <formula>0</formula>
    </cfRule>
  </conditionalFormatting>
  <conditionalFormatting sqref="I62 M62">
    <cfRule type="cellIs" dxfId="597" priority="658" operator="lessThan">
      <formula>0</formula>
    </cfRule>
  </conditionalFormatting>
  <conditionalFormatting sqref="O62">
    <cfRule type="cellIs" dxfId="596" priority="659" operator="lessThan">
      <formula>0</formula>
    </cfRule>
  </conditionalFormatting>
  <conditionalFormatting sqref="O62">
    <cfRule type="cellIs" dxfId="595" priority="660" operator="lessThan">
      <formula>0</formula>
    </cfRule>
  </conditionalFormatting>
  <conditionalFormatting sqref="Q62">
    <cfRule type="cellIs" dxfId="594" priority="661" operator="lessThan">
      <formula>0</formula>
    </cfRule>
  </conditionalFormatting>
  <conditionalFormatting sqref="Q62">
    <cfRule type="cellIs" dxfId="593" priority="662" operator="lessThan">
      <formula>0</formula>
    </cfRule>
  </conditionalFormatting>
  <conditionalFormatting sqref="S62 AE62">
    <cfRule type="cellIs" dxfId="592" priority="663" operator="lessThan">
      <formula>0</formula>
    </cfRule>
  </conditionalFormatting>
  <conditionalFormatting sqref="S62 AE62">
    <cfRule type="cellIs" dxfId="591" priority="664" operator="lessThan">
      <formula>0</formula>
    </cfRule>
  </conditionalFormatting>
  <conditionalFormatting sqref="U62 W62 Y62 AA62 AC62 AG62">
    <cfRule type="cellIs" dxfId="590" priority="665" operator="lessThan">
      <formula>0</formula>
    </cfRule>
  </conditionalFormatting>
  <conditionalFormatting sqref="U62 W62 Y62 AA62 AC62 AG62">
    <cfRule type="cellIs" dxfId="589" priority="666" operator="lessThan">
      <formula>0</formula>
    </cfRule>
  </conditionalFormatting>
  <conditionalFormatting sqref="F58:J59 K58 L58:L59 M58 N58:N59 O58 P58:P59 Q58 R58:R59 S58 T58:V59 W58 X58:X59 Y58 Z58:Z59 AA58 AB58:AF59 AG58:AH58">
    <cfRule type="cellIs" dxfId="588" priority="667" operator="lessThan">
      <formula>0</formula>
    </cfRule>
  </conditionalFormatting>
  <conditionalFormatting sqref="F58:J59 K58 L58:L59 M58 N58:N59 O58 P58:P59 Q58 R58:R59 S58 T58:V59 W58 X58:X59 Y58 Z58:Z59 AA58 AB58:AF59 AG58:AH58">
    <cfRule type="cellIs" dxfId="587" priority="668" operator="lessThan">
      <formula>0</formula>
    </cfRule>
  </conditionalFormatting>
  <conditionalFormatting sqref="F58:J59">
    <cfRule type="cellIs" dxfId="586" priority="669" operator="lessThan">
      <formula>0</formula>
    </cfRule>
  </conditionalFormatting>
  <conditionalFormatting sqref="F58:J59">
    <cfRule type="cellIs" dxfId="585" priority="670" operator="lessThan">
      <formula>0</formula>
    </cfRule>
  </conditionalFormatting>
  <conditionalFormatting sqref="H58:H59 L58:L59">
    <cfRule type="cellIs" dxfId="584" priority="671" operator="lessThan">
      <formula>0</formula>
    </cfRule>
  </conditionalFormatting>
  <conditionalFormatting sqref="H58:H59 L58:L59">
    <cfRule type="cellIs" dxfId="583" priority="672" operator="lessThan">
      <formula>0</formula>
    </cfRule>
  </conditionalFormatting>
  <conditionalFormatting sqref="N58:N59">
    <cfRule type="cellIs" dxfId="582" priority="673" operator="lessThan">
      <formula>0</formula>
    </cfRule>
  </conditionalFormatting>
  <conditionalFormatting sqref="N58:N59">
    <cfRule type="cellIs" dxfId="581" priority="674" operator="lessThan">
      <formula>0</formula>
    </cfRule>
  </conditionalFormatting>
  <conditionalFormatting sqref="P58:P59">
    <cfRule type="cellIs" dxfId="580" priority="675" operator="lessThan">
      <formula>0</formula>
    </cfRule>
  </conditionalFormatting>
  <conditionalFormatting sqref="P58:P59">
    <cfRule type="cellIs" dxfId="579" priority="676" operator="lessThan">
      <formula>0</formula>
    </cfRule>
  </conditionalFormatting>
  <conditionalFormatting sqref="R58:R59 AD58:AD59 T59 V59 X59 Z59 AB59">
    <cfRule type="cellIs" dxfId="578" priority="677" operator="lessThan">
      <formula>0</formula>
    </cfRule>
  </conditionalFormatting>
  <conditionalFormatting sqref="R58:R59 AD58:AD59 T59 V59 X59 Z59 AB59">
    <cfRule type="cellIs" dxfId="577" priority="678" operator="lessThan">
      <formula>0</formula>
    </cfRule>
  </conditionalFormatting>
  <conditionalFormatting sqref="T58:V59 X58:X59 Z58:Z59 AB58:AF59">
    <cfRule type="cellIs" dxfId="576" priority="679" operator="lessThan">
      <formula>0</formula>
    </cfRule>
  </conditionalFormatting>
  <conditionalFormatting sqref="T58:V59 X58:X59 Z58:Z59 AB58:AF59">
    <cfRule type="cellIs" dxfId="575" priority="680" operator="lessThan">
      <formula>0</formula>
    </cfRule>
  </conditionalFormatting>
  <conditionalFormatting sqref="G58:G59 K58:K59">
    <cfRule type="cellIs" dxfId="574" priority="681" operator="lessThan">
      <formula>0</formula>
    </cfRule>
  </conditionalFormatting>
  <conditionalFormatting sqref="G58:G59 K58:K59">
    <cfRule type="cellIs" dxfId="573" priority="682" operator="lessThan">
      <formula>0</formula>
    </cfRule>
  </conditionalFormatting>
  <conditionalFormatting sqref="I58:I59 M58:M59">
    <cfRule type="cellIs" dxfId="572" priority="683" operator="lessThan">
      <formula>0</formula>
    </cfRule>
  </conditionalFormatting>
  <conditionalFormatting sqref="I58:I59 M58:M59">
    <cfRule type="cellIs" dxfId="571" priority="684" operator="lessThan">
      <formula>0</formula>
    </cfRule>
  </conditionalFormatting>
  <conditionalFormatting sqref="O58:O59">
    <cfRule type="cellIs" dxfId="570" priority="685" operator="lessThan">
      <formula>0</formula>
    </cfRule>
  </conditionalFormatting>
  <conditionalFormatting sqref="O58:O59">
    <cfRule type="cellIs" dxfId="569" priority="686" operator="lessThan">
      <formula>0</formula>
    </cfRule>
  </conditionalFormatting>
  <conditionalFormatting sqref="Q58:Q59">
    <cfRule type="cellIs" dxfId="568" priority="687" operator="lessThan">
      <formula>0</formula>
    </cfRule>
  </conditionalFormatting>
  <conditionalFormatting sqref="Q58:Q59">
    <cfRule type="cellIs" dxfId="567" priority="688" operator="lessThan">
      <formula>0</formula>
    </cfRule>
  </conditionalFormatting>
  <conditionalFormatting sqref="S58:S59 AE58:AE59 U59">
    <cfRule type="cellIs" dxfId="566" priority="689" operator="lessThan">
      <formula>0</formula>
    </cfRule>
  </conditionalFormatting>
  <conditionalFormatting sqref="S58:S59 AE58:AE59 U59">
    <cfRule type="cellIs" dxfId="565" priority="690" operator="lessThan">
      <formula>0</formula>
    </cfRule>
  </conditionalFormatting>
  <conditionalFormatting sqref="U58:U59 W58:W59 Y58:Y59 AA58:AA59 AC58:AC59 AG58:AG59">
    <cfRule type="cellIs" dxfId="564" priority="691" operator="lessThan">
      <formula>0</formula>
    </cfRule>
  </conditionalFormatting>
  <conditionalFormatting sqref="U58:U59 W58:W59 Y58:Y59 AA58:AA59 AC58:AC59 AG58:AG59">
    <cfRule type="cellIs" dxfId="563" priority="692" operator="lessThan">
      <formula>0</formula>
    </cfRule>
  </conditionalFormatting>
  <conditionalFormatting sqref="F57:J57 L57 N57 P57 R57 T57:V57 X57 Z57 AB57:AF57">
    <cfRule type="cellIs" dxfId="562" priority="693" operator="lessThan">
      <formula>0</formula>
    </cfRule>
  </conditionalFormatting>
  <conditionalFormatting sqref="F57:J57 L57 N57 P57 R57 T57:V57 X57 Z57 AB57:AF57">
    <cfRule type="cellIs" dxfId="561" priority="694" operator="lessThan">
      <formula>0</formula>
    </cfRule>
  </conditionalFormatting>
  <conditionalFormatting sqref="F57:J57">
    <cfRule type="cellIs" dxfId="560" priority="695" operator="lessThan">
      <formula>0</formula>
    </cfRule>
  </conditionalFormatting>
  <conditionalFormatting sqref="H57 L57">
    <cfRule type="cellIs" dxfId="559" priority="696" operator="lessThan">
      <formula>0</formula>
    </cfRule>
  </conditionalFormatting>
  <conditionalFormatting sqref="N57">
    <cfRule type="cellIs" dxfId="558" priority="697" operator="lessThan">
      <formula>0</formula>
    </cfRule>
  </conditionalFormatting>
  <conditionalFormatting sqref="P57">
    <cfRule type="cellIs" dxfId="557" priority="698" operator="lessThan">
      <formula>0</formula>
    </cfRule>
  </conditionalFormatting>
  <conditionalFormatting sqref="R57 T57 V57 X57 Z57 AB57 AD57 AF57">
    <cfRule type="cellIs" dxfId="556" priority="699" operator="lessThan">
      <formula>0</formula>
    </cfRule>
  </conditionalFormatting>
  <conditionalFormatting sqref="T57:V57 X57 Z57 AB57:AF57">
    <cfRule type="cellIs" dxfId="555" priority="700" operator="lessThan">
      <formula>0</formula>
    </cfRule>
  </conditionalFormatting>
  <conditionalFormatting sqref="G57:G58 I57:I58 K57:K58 M57:M58 O57:O58 Q57:Q58 S57:S58 U57:U58 W57:W58 Y57:Y58 AA57:AA58 AC57:AC58 AE57:AE58 AG57:AG58">
    <cfRule type="cellIs" dxfId="554" priority="701" operator="lessThan">
      <formula>0</formula>
    </cfRule>
  </conditionalFormatting>
  <conditionalFormatting sqref="G57:G58 I57:I58 K57:K58 M57:M58 O57:O58 Q57:Q58 S57:S58 U57:U58 W57:W58 Y57:Y58 AA57:AA58 AC57:AC58 AE57:AE58 AG57:AG58">
    <cfRule type="cellIs" dxfId="553" priority="702" operator="lessThan">
      <formula>0</formula>
    </cfRule>
  </conditionalFormatting>
  <conditionalFormatting sqref="G57 I57 K57 M57 O57 Q57 S57 U57 W57 Y57 AA57 AC57 AE57 AG57">
    <cfRule type="cellIs" dxfId="552" priority="703" operator="lessThan">
      <formula>0</formula>
    </cfRule>
  </conditionalFormatting>
  <conditionalFormatting sqref="G57 I57 K57 M57 O57 Q57 S57 U57 W57 Y57 AA57 AC57 AE57 AG57">
    <cfRule type="cellIs" dxfId="551" priority="704" operator="lessThan">
      <formula>0</formula>
    </cfRule>
  </conditionalFormatting>
  <conditionalFormatting sqref="G57 K57">
    <cfRule type="cellIs" dxfId="550" priority="705" operator="lessThan">
      <formula>0</formula>
    </cfRule>
  </conditionalFormatting>
  <conditionalFormatting sqref="G57 K57">
    <cfRule type="cellIs" dxfId="549" priority="706" operator="lessThan">
      <formula>0</formula>
    </cfRule>
  </conditionalFormatting>
  <conditionalFormatting sqref="I57 M57">
    <cfRule type="cellIs" dxfId="548" priority="707" operator="lessThan">
      <formula>0</formula>
    </cfRule>
  </conditionalFormatting>
  <conditionalFormatting sqref="I57 M57">
    <cfRule type="cellIs" dxfId="547" priority="708" operator="lessThan">
      <formula>0</formula>
    </cfRule>
  </conditionalFormatting>
  <conditionalFormatting sqref="O57">
    <cfRule type="cellIs" dxfId="546" priority="709" operator="lessThan">
      <formula>0</formula>
    </cfRule>
  </conditionalFormatting>
  <conditionalFormatting sqref="O57">
    <cfRule type="cellIs" dxfId="545" priority="710" operator="lessThan">
      <formula>0</formula>
    </cfRule>
  </conditionalFormatting>
  <conditionalFormatting sqref="Q57">
    <cfRule type="cellIs" dxfId="544" priority="711" operator="lessThan">
      <formula>0</formula>
    </cfRule>
  </conditionalFormatting>
  <conditionalFormatting sqref="Q57">
    <cfRule type="cellIs" dxfId="543" priority="712" operator="lessThan">
      <formula>0</formula>
    </cfRule>
  </conditionalFormatting>
  <conditionalFormatting sqref="S57 AE57">
    <cfRule type="cellIs" dxfId="542" priority="713" operator="lessThan">
      <formula>0</formula>
    </cfRule>
  </conditionalFormatting>
  <conditionalFormatting sqref="S57 AE57">
    <cfRule type="cellIs" dxfId="541" priority="714" operator="lessThan">
      <formula>0</formula>
    </cfRule>
  </conditionalFormatting>
  <conditionalFormatting sqref="U57 W57 Y57 AA57 AC57 AG57">
    <cfRule type="cellIs" dxfId="540" priority="715" operator="lessThan">
      <formula>0</formula>
    </cfRule>
  </conditionalFormatting>
  <conditionalFormatting sqref="U57 W57 Y57 AA57 AC57 AG57">
    <cfRule type="cellIs" dxfId="539" priority="716" operator="lessThan">
      <formula>0</formula>
    </cfRule>
  </conditionalFormatting>
  <conditionalFormatting sqref="G65 I65 K65 M65 O65 Q65 S65 U65 W65 Y65 AA65 AC65 AE65 AG65 AI65:AP65">
    <cfRule type="cellIs" dxfId="538" priority="717" operator="lessThan">
      <formula>0</formula>
    </cfRule>
  </conditionalFormatting>
  <conditionalFormatting sqref="G65 I65 K65 M65 O65 Q65 S65 U65 W65 Y65 AA65 AC65 AE65 AG65 AI65:AP65">
    <cfRule type="cellIs" dxfId="537" priority="718" operator="lessThan">
      <formula>0</formula>
    </cfRule>
  </conditionalFormatting>
  <conditionalFormatting sqref="F65:J65 L65 N65 P65 R65 T65:V65 X65 Z65 AB65:AF65">
    <cfRule type="cellIs" dxfId="536" priority="719" operator="lessThan">
      <formula>0</formula>
    </cfRule>
  </conditionalFormatting>
  <conditionalFormatting sqref="F65:J65 L65 N65 P65 R65 T65 V65 X65 Z65 AB65 AD65 AF65">
    <cfRule type="cellIs" dxfId="535" priority="720" operator="lessThan">
      <formula>0</formula>
    </cfRule>
  </conditionalFormatting>
  <conditionalFormatting sqref="H65 L65">
    <cfRule type="cellIs" dxfId="534" priority="721" operator="lessThan">
      <formula>0</formula>
    </cfRule>
  </conditionalFormatting>
  <conditionalFormatting sqref="N65">
    <cfRule type="cellIs" dxfId="533" priority="722" operator="lessThan">
      <formula>0</formula>
    </cfRule>
  </conditionalFormatting>
  <conditionalFormatting sqref="P65">
    <cfRule type="cellIs" dxfId="532" priority="723" operator="lessThan">
      <formula>0</formula>
    </cfRule>
  </conditionalFormatting>
  <conditionalFormatting sqref="R65 AD65">
    <cfRule type="cellIs" dxfId="531" priority="724" operator="lessThan">
      <formula>0</formula>
    </cfRule>
  </conditionalFormatting>
  <conditionalFormatting sqref="T65:V65 X65 Z65 AB65:AF65">
    <cfRule type="cellIs" dxfId="530" priority="725" operator="lessThan">
      <formula>0</formula>
    </cfRule>
  </conditionalFormatting>
  <conditionalFormatting sqref="G65 I65 K65 M65 O65 Q65 S65 U65 W65 Y65 AA65 AC65 AE65 AG65">
    <cfRule type="cellIs" dxfId="529" priority="726" operator="lessThan">
      <formula>0</formula>
    </cfRule>
  </conditionalFormatting>
  <conditionalFormatting sqref="G65 I65 K65 M65 O65 Q65 S65 U65 W65 Y65 AA65 AC65 AE65 AG65">
    <cfRule type="cellIs" dxfId="528" priority="727" operator="lessThan">
      <formula>0</formula>
    </cfRule>
  </conditionalFormatting>
  <conditionalFormatting sqref="G65 I65 K65 M65 O65 Q65 S65 U65 W65 Y65 AA65 AC65 AE65 AG65">
    <cfRule type="cellIs" dxfId="527" priority="728" operator="lessThan">
      <formula>0</formula>
    </cfRule>
  </conditionalFormatting>
  <conditionalFormatting sqref="G65 I65 K65 M65 O65 Q65 S65 U65 W65 Y65 AA65 AC65 AE65 AG65">
    <cfRule type="cellIs" dxfId="526" priority="729" operator="lessThan">
      <formula>0</formula>
    </cfRule>
  </conditionalFormatting>
  <conditionalFormatting sqref="I65 M65">
    <cfRule type="cellIs" dxfId="525" priority="730" operator="lessThan">
      <formula>0</formula>
    </cfRule>
  </conditionalFormatting>
  <conditionalFormatting sqref="I65 M65">
    <cfRule type="cellIs" dxfId="524" priority="731" operator="lessThan">
      <formula>0</formula>
    </cfRule>
  </conditionalFormatting>
  <conditionalFormatting sqref="I65 M65 O65">
    <cfRule type="cellIs" dxfId="523" priority="732" operator="lessThan">
      <formula>0</formula>
    </cfRule>
  </conditionalFormatting>
  <conditionalFormatting sqref="I65 M65 O65">
    <cfRule type="cellIs" dxfId="522" priority="733" operator="lessThan">
      <formula>0</formula>
    </cfRule>
  </conditionalFormatting>
  <conditionalFormatting sqref="Q65">
    <cfRule type="cellIs" dxfId="521" priority="734" operator="lessThan">
      <formula>0</formula>
    </cfRule>
  </conditionalFormatting>
  <conditionalFormatting sqref="Q65">
    <cfRule type="cellIs" dxfId="520" priority="735" operator="lessThan">
      <formula>0</formula>
    </cfRule>
  </conditionalFormatting>
  <conditionalFormatting sqref="S65 AE65">
    <cfRule type="cellIs" dxfId="519" priority="736" operator="lessThan">
      <formula>0</formula>
    </cfRule>
  </conditionalFormatting>
  <conditionalFormatting sqref="S65 AE65">
    <cfRule type="cellIs" dxfId="518" priority="737" operator="lessThan">
      <formula>0</formula>
    </cfRule>
  </conditionalFormatting>
  <conditionalFormatting sqref="U65 W65 Y65 AA65 AC65 AG65">
    <cfRule type="cellIs" dxfId="517" priority="738" operator="lessThan">
      <formula>0</formula>
    </cfRule>
  </conditionalFormatting>
  <conditionalFormatting sqref="U65 W65 Y65 AA65 AC65 AG65">
    <cfRule type="cellIs" dxfId="516" priority="739" operator="lessThan">
      <formula>0</formula>
    </cfRule>
  </conditionalFormatting>
  <conditionalFormatting sqref="F91:J91 L91 N91 P91 R91 T91:V91 X91 Z91 AB91:AF91">
    <cfRule type="cellIs" dxfId="515" priority="740" operator="lessThan">
      <formula>0</formula>
    </cfRule>
  </conditionalFormatting>
  <conditionalFormatting sqref="F91:J91">
    <cfRule type="cellIs" dxfId="514" priority="741" operator="lessThan">
      <formula>0</formula>
    </cfRule>
  </conditionalFormatting>
  <conditionalFormatting sqref="H91 L91">
    <cfRule type="cellIs" dxfId="513" priority="742" operator="lessThan">
      <formula>0</formula>
    </cfRule>
  </conditionalFormatting>
  <conditionalFormatting sqref="N91">
    <cfRule type="cellIs" dxfId="512" priority="743" operator="lessThan">
      <formula>0</formula>
    </cfRule>
  </conditionalFormatting>
  <conditionalFormatting sqref="P91">
    <cfRule type="cellIs" dxfId="511" priority="744" operator="lessThan">
      <formula>0</formula>
    </cfRule>
  </conditionalFormatting>
  <conditionalFormatting sqref="R91 AD91">
    <cfRule type="cellIs" dxfId="510" priority="745" operator="lessThan">
      <formula>0</formula>
    </cfRule>
  </conditionalFormatting>
  <conditionalFormatting sqref="T91:V91 X91 Z91 AB91:AF91">
    <cfRule type="cellIs" dxfId="509" priority="746" operator="lessThan">
      <formula>0</formula>
    </cfRule>
  </conditionalFormatting>
  <conditionalFormatting sqref="G91 K91">
    <cfRule type="cellIs" dxfId="508" priority="747" operator="lessThan">
      <formula>0</formula>
    </cfRule>
  </conditionalFormatting>
  <conditionalFormatting sqref="G91 K91">
    <cfRule type="cellIs" dxfId="507" priority="748" operator="lessThan">
      <formula>0</formula>
    </cfRule>
  </conditionalFormatting>
  <conditionalFormatting sqref="I91 M91">
    <cfRule type="cellIs" dxfId="506" priority="749" operator="lessThan">
      <formula>0</formula>
    </cfRule>
  </conditionalFormatting>
  <conditionalFormatting sqref="I91 M91">
    <cfRule type="cellIs" dxfId="505" priority="750" operator="lessThan">
      <formula>0</formula>
    </cfRule>
  </conditionalFormatting>
  <conditionalFormatting sqref="O91">
    <cfRule type="cellIs" dxfId="504" priority="751" operator="lessThan">
      <formula>0</formula>
    </cfRule>
  </conditionalFormatting>
  <conditionalFormatting sqref="O91">
    <cfRule type="cellIs" dxfId="503" priority="752" operator="lessThan">
      <formula>0</formula>
    </cfRule>
  </conditionalFormatting>
  <conditionalFormatting sqref="Q91">
    <cfRule type="cellIs" dxfId="502" priority="753" operator="lessThan">
      <formula>0</formula>
    </cfRule>
  </conditionalFormatting>
  <conditionalFormatting sqref="Q91">
    <cfRule type="cellIs" dxfId="501" priority="754" operator="lessThan">
      <formula>0</formula>
    </cfRule>
  </conditionalFormatting>
  <conditionalFormatting sqref="S91 AE91">
    <cfRule type="cellIs" dxfId="500" priority="755" operator="lessThan">
      <formula>0</formula>
    </cfRule>
  </conditionalFormatting>
  <conditionalFormatting sqref="S91 AE91">
    <cfRule type="cellIs" dxfId="499" priority="756" operator="lessThan">
      <formula>0</formula>
    </cfRule>
  </conditionalFormatting>
  <conditionalFormatting sqref="U91 W91 Y91 AA91 AC91 AG91">
    <cfRule type="cellIs" dxfId="498" priority="757" operator="lessThan">
      <formula>0</formula>
    </cfRule>
  </conditionalFormatting>
  <conditionalFormatting sqref="U91 W91 Y91 AA91 AC91 AG91">
    <cfRule type="cellIs" dxfId="497" priority="758" operator="lessThan">
      <formula>0</formula>
    </cfRule>
  </conditionalFormatting>
  <conditionalFormatting sqref="F94:J94 L94 N94 P94 R94 T94:V94 X94 Z94 AB94:AF94">
    <cfRule type="cellIs" dxfId="496" priority="759" operator="lessThan">
      <formula>0</formula>
    </cfRule>
  </conditionalFormatting>
  <conditionalFormatting sqref="F94:J94 L94 N94 P94 R94 T94:V94 X94 Z94 AB94:AF94">
    <cfRule type="cellIs" dxfId="495" priority="760" operator="lessThan">
      <formula>0</formula>
    </cfRule>
  </conditionalFormatting>
  <conditionalFormatting sqref="F94:J94">
    <cfRule type="cellIs" dxfId="494" priority="761" operator="lessThan">
      <formula>0</formula>
    </cfRule>
  </conditionalFormatting>
  <conditionalFormatting sqref="H94 L94">
    <cfRule type="cellIs" dxfId="493" priority="762" operator="lessThan">
      <formula>0</formula>
    </cfRule>
  </conditionalFormatting>
  <conditionalFormatting sqref="N94">
    <cfRule type="cellIs" dxfId="492" priority="763" operator="lessThan">
      <formula>0</formula>
    </cfRule>
  </conditionalFormatting>
  <conditionalFormatting sqref="P94">
    <cfRule type="cellIs" dxfId="491" priority="764" operator="lessThan">
      <formula>0</formula>
    </cfRule>
  </conditionalFormatting>
  <conditionalFormatting sqref="R94 AD94">
    <cfRule type="cellIs" dxfId="490" priority="765" operator="lessThan">
      <formula>0</formula>
    </cfRule>
  </conditionalFormatting>
  <conditionalFormatting sqref="T94:V94 X94 Z94 AB94:AF94">
    <cfRule type="cellIs" dxfId="489" priority="766" operator="lessThan">
      <formula>0</formula>
    </cfRule>
  </conditionalFormatting>
  <conditionalFormatting sqref="G94:G95 I94:I95 K94:K95 M94:M95 O94:O95 Q94:Q95 S94:S95 U94:U95 W94:W95 Y94:Y95 AA94:AA95 AC94:AC95 AE94:AE95 AG94:AG95">
    <cfRule type="cellIs" dxfId="488" priority="767" operator="lessThan">
      <formula>0</formula>
    </cfRule>
  </conditionalFormatting>
  <conditionalFormatting sqref="G94:G95 I94:I95 K94:K95 M94:M95 O94:O95 Q94:Q95 S94:S95 U94:U95 W94:W95 Y94:Y95 AA94:AA95 AC94:AC95 AE94:AE95 AG94:AG95">
    <cfRule type="cellIs" dxfId="487" priority="768" operator="lessThan">
      <formula>0</formula>
    </cfRule>
  </conditionalFormatting>
  <conditionalFormatting sqref="G94 I94 K94 M94 O94 Q94 S94 U94 W94 Y94 AA94 AC94 AE94 AG94">
    <cfRule type="cellIs" dxfId="486" priority="769" operator="lessThan">
      <formula>0</formula>
    </cfRule>
  </conditionalFormatting>
  <conditionalFormatting sqref="G94 I94 K94 M94 O94 Q94 S94 U94 W94 Y94 AA94 AC94 AE94 AG94">
    <cfRule type="cellIs" dxfId="485" priority="770" operator="lessThan">
      <formula>0</formula>
    </cfRule>
  </conditionalFormatting>
  <conditionalFormatting sqref="G94 K94">
    <cfRule type="cellIs" dxfId="484" priority="771" operator="lessThan">
      <formula>0</formula>
    </cfRule>
  </conditionalFormatting>
  <conditionalFormatting sqref="G94 K94">
    <cfRule type="cellIs" dxfId="483" priority="772" operator="lessThan">
      <formula>0</formula>
    </cfRule>
  </conditionalFormatting>
  <conditionalFormatting sqref="I94 M94">
    <cfRule type="cellIs" dxfId="482" priority="773" operator="lessThan">
      <formula>0</formula>
    </cfRule>
  </conditionalFormatting>
  <conditionalFormatting sqref="I94 M94">
    <cfRule type="cellIs" dxfId="481" priority="774" operator="lessThan">
      <formula>0</formula>
    </cfRule>
  </conditionalFormatting>
  <conditionalFormatting sqref="O94">
    <cfRule type="cellIs" dxfId="480" priority="775" operator="lessThan">
      <formula>0</formula>
    </cfRule>
  </conditionalFormatting>
  <conditionalFormatting sqref="O94">
    <cfRule type="cellIs" dxfId="479" priority="776" operator="lessThan">
      <formula>0</formula>
    </cfRule>
  </conditionalFormatting>
  <conditionalFormatting sqref="Q94">
    <cfRule type="cellIs" dxfId="478" priority="777" operator="lessThan">
      <formula>0</formula>
    </cfRule>
  </conditionalFormatting>
  <conditionalFormatting sqref="Q94">
    <cfRule type="cellIs" dxfId="477" priority="778" operator="lessThan">
      <formula>0</formula>
    </cfRule>
  </conditionalFormatting>
  <conditionalFormatting sqref="S94 AE94">
    <cfRule type="cellIs" dxfId="476" priority="779" operator="lessThan">
      <formula>0</formula>
    </cfRule>
  </conditionalFormatting>
  <conditionalFormatting sqref="S94 AE94">
    <cfRule type="cellIs" dxfId="475" priority="780" operator="lessThan">
      <formula>0</formula>
    </cfRule>
  </conditionalFormatting>
  <conditionalFormatting sqref="U94 W94 Y94 AA94 AC94 AG94">
    <cfRule type="cellIs" dxfId="474" priority="781" operator="lessThan">
      <formula>0</formula>
    </cfRule>
  </conditionalFormatting>
  <conditionalFormatting sqref="U94 W94 Y94 AA94 AC94 AG94">
    <cfRule type="cellIs" dxfId="473" priority="782" operator="lessThan">
      <formula>0</formula>
    </cfRule>
  </conditionalFormatting>
  <conditionalFormatting sqref="N90 T90:V90 X90 Z90 AB90:AF90">
    <cfRule type="cellIs" dxfId="472" priority="783" operator="lessThan">
      <formula>0</formula>
    </cfRule>
  </conditionalFormatting>
  <conditionalFormatting sqref="H89:H90 L89:L90 N89:N90 F90:G90 I90:J90 P90 R90 T90:V90 X90 Z90 AB90:AF90">
    <cfRule type="cellIs" dxfId="471" priority="784" operator="lessThan">
      <formula>0</formula>
    </cfRule>
  </conditionalFormatting>
  <conditionalFormatting sqref="H89:H90 L89:L90 N89:N90 F90:G90 I90:J90 P90 R90 T90 V90 X90 Z90 AB90 AD90 AF90">
    <cfRule type="cellIs" dxfId="470" priority="785" operator="lessThan">
      <formula>0</formula>
    </cfRule>
  </conditionalFormatting>
  <conditionalFormatting sqref="H90 L90">
    <cfRule type="cellIs" dxfId="469" priority="786" operator="lessThan">
      <formula>0</formula>
    </cfRule>
  </conditionalFormatting>
  <conditionalFormatting sqref="N90">
    <cfRule type="cellIs" dxfId="468" priority="787" operator="lessThan">
      <formula>0</formula>
    </cfRule>
  </conditionalFormatting>
  <conditionalFormatting sqref="P90">
    <cfRule type="cellIs" dxfId="467" priority="788" operator="lessThan">
      <formula>0</formula>
    </cfRule>
  </conditionalFormatting>
  <conditionalFormatting sqref="N90 R90 AD90">
    <cfRule type="cellIs" dxfId="466" priority="789" operator="lessThan">
      <formula>0</formula>
    </cfRule>
  </conditionalFormatting>
  <conditionalFormatting sqref="T90:V90 X90 Z90 AB90:AF90">
    <cfRule type="cellIs" dxfId="465" priority="790" operator="lessThan">
      <formula>0</formula>
    </cfRule>
  </conditionalFormatting>
  <conditionalFormatting sqref="G90 I90 K90 M90 O90 Q90 S90 U90 W90 Y90 AA90 AC90 AE90 AG90 G102 K102">
    <cfRule type="cellIs" dxfId="464" priority="791" operator="lessThan">
      <formula>0</formula>
    </cfRule>
  </conditionalFormatting>
  <conditionalFormatting sqref="G90 I90 K90 M90 O90 Q90 S90 U90 W90 Y90 AA90 AC90 AE90 AG90 G102 K102">
    <cfRule type="cellIs" dxfId="463" priority="792" operator="lessThan">
      <formula>0</formula>
    </cfRule>
  </conditionalFormatting>
  <conditionalFormatting sqref="I90 M90">
    <cfRule type="cellIs" dxfId="462" priority="793" operator="lessThan">
      <formula>0</formula>
    </cfRule>
  </conditionalFormatting>
  <conditionalFormatting sqref="I90 M90">
    <cfRule type="cellIs" dxfId="461" priority="794" operator="lessThan">
      <formula>0</formula>
    </cfRule>
  </conditionalFormatting>
  <conditionalFormatting sqref="O90">
    <cfRule type="cellIs" dxfId="460" priority="795" operator="lessThan">
      <formula>0</formula>
    </cfRule>
  </conditionalFormatting>
  <conditionalFormatting sqref="O90">
    <cfRule type="cellIs" dxfId="459" priority="796" operator="lessThan">
      <formula>0</formula>
    </cfRule>
  </conditionalFormatting>
  <conditionalFormatting sqref="Q90">
    <cfRule type="cellIs" dxfId="458" priority="797" operator="lessThan">
      <formula>0</formula>
    </cfRule>
  </conditionalFormatting>
  <conditionalFormatting sqref="Q90">
    <cfRule type="cellIs" dxfId="457" priority="798" operator="lessThan">
      <formula>0</formula>
    </cfRule>
  </conditionalFormatting>
  <conditionalFormatting sqref="S90 AE90">
    <cfRule type="cellIs" dxfId="456" priority="799" operator="lessThan">
      <formula>0</formula>
    </cfRule>
  </conditionalFormatting>
  <conditionalFormatting sqref="S90 AE90">
    <cfRule type="cellIs" dxfId="455" priority="800" operator="lessThan">
      <formula>0</formula>
    </cfRule>
  </conditionalFormatting>
  <conditionalFormatting sqref="U90 W90 Y90 AA90 AC90 AG90">
    <cfRule type="cellIs" dxfId="454" priority="801" operator="lessThan">
      <formula>0</formula>
    </cfRule>
  </conditionalFormatting>
  <conditionalFormatting sqref="U90 W90 Y90 AA90 AC90 AG90">
    <cfRule type="cellIs" dxfId="453" priority="802" operator="lessThan">
      <formula>0</formula>
    </cfRule>
  </conditionalFormatting>
  <conditionalFormatting sqref="F96:J96 L96 N96 P96 R96 T96:V96 X96 Z96 AB96:AF96">
    <cfRule type="cellIs" dxfId="452" priority="803" operator="lessThan">
      <formula>0</formula>
    </cfRule>
  </conditionalFormatting>
  <conditionalFormatting sqref="F96:J96 L96 N96 P96 R96 T96:V96 X96 Z96 AB96:AF96">
    <cfRule type="cellIs" dxfId="451" priority="804" operator="lessThan">
      <formula>0</formula>
    </cfRule>
  </conditionalFormatting>
  <conditionalFormatting sqref="F96:J96">
    <cfRule type="cellIs" dxfId="450" priority="805" operator="lessThan">
      <formula>0</formula>
    </cfRule>
  </conditionalFormatting>
  <conditionalFormatting sqref="H96 L96">
    <cfRule type="cellIs" dxfId="449" priority="806" operator="lessThan">
      <formula>0</formula>
    </cfRule>
  </conditionalFormatting>
  <conditionalFormatting sqref="N96">
    <cfRule type="cellIs" dxfId="448" priority="807" operator="lessThan">
      <formula>0</formula>
    </cfRule>
  </conditionalFormatting>
  <conditionalFormatting sqref="P96">
    <cfRule type="cellIs" dxfId="447" priority="808" operator="lessThan">
      <formula>0</formula>
    </cfRule>
  </conditionalFormatting>
  <conditionalFormatting sqref="R96 T96 V96 X96 Z96 AB96 AD96 AF96">
    <cfRule type="cellIs" dxfId="446" priority="809" operator="lessThan">
      <formula>0</formula>
    </cfRule>
  </conditionalFormatting>
  <conditionalFormatting sqref="T96:V96 X96 Z96 AB96:AF96">
    <cfRule type="cellIs" dxfId="445" priority="810" operator="lessThan">
      <formula>0</formula>
    </cfRule>
  </conditionalFormatting>
  <conditionalFormatting sqref="G96 I96 K96 M96 O96 Q96 S96 U96 W96 Y96 AA96 AC96 AE96 AG96">
    <cfRule type="cellIs" dxfId="444" priority="811" operator="lessThan">
      <formula>0</formula>
    </cfRule>
  </conditionalFormatting>
  <conditionalFormatting sqref="G96 I96 K96 M96 O96 Q96 S96 U96 W96 Y96 AA96 AC96 AE96 AG96">
    <cfRule type="cellIs" dxfId="443" priority="812" operator="lessThan">
      <formula>0</formula>
    </cfRule>
  </conditionalFormatting>
  <conditionalFormatting sqref="G96 I96 K96 M96 O96 Q96 S96 U96 W96 Y96 AA96 AC96 AE96 AG96">
    <cfRule type="cellIs" dxfId="442" priority="813" operator="lessThan">
      <formula>0</formula>
    </cfRule>
  </conditionalFormatting>
  <conditionalFormatting sqref="G96 I96 K96 M96 O96 Q96 S96 U96 W96 Y96 AA96 AC96 AE96 AG96">
    <cfRule type="cellIs" dxfId="441" priority="814" operator="lessThan">
      <formula>0</formula>
    </cfRule>
  </conditionalFormatting>
  <conditionalFormatting sqref="G96 K96">
    <cfRule type="cellIs" dxfId="440" priority="815" operator="lessThan">
      <formula>0</formula>
    </cfRule>
  </conditionalFormatting>
  <conditionalFormatting sqref="G96 K96">
    <cfRule type="cellIs" dxfId="439" priority="816" operator="lessThan">
      <formula>0</formula>
    </cfRule>
  </conditionalFormatting>
  <conditionalFormatting sqref="I96 M96">
    <cfRule type="cellIs" dxfId="438" priority="817" operator="lessThan">
      <formula>0</formula>
    </cfRule>
  </conditionalFormatting>
  <conditionalFormatting sqref="I96 M96">
    <cfRule type="cellIs" dxfId="437" priority="818" operator="lessThan">
      <formula>0</formula>
    </cfRule>
  </conditionalFormatting>
  <conditionalFormatting sqref="O96">
    <cfRule type="cellIs" dxfId="436" priority="819" operator="lessThan">
      <formula>0</formula>
    </cfRule>
  </conditionalFormatting>
  <conditionalFormatting sqref="O96">
    <cfRule type="cellIs" dxfId="435" priority="820" operator="lessThan">
      <formula>0</formula>
    </cfRule>
  </conditionalFormatting>
  <conditionalFormatting sqref="Q96">
    <cfRule type="cellIs" dxfId="434" priority="821" operator="lessThan">
      <formula>0</formula>
    </cfRule>
  </conditionalFormatting>
  <conditionalFormatting sqref="Q96">
    <cfRule type="cellIs" dxfId="433" priority="822" operator="lessThan">
      <formula>0</formula>
    </cfRule>
  </conditionalFormatting>
  <conditionalFormatting sqref="S96 U96 W96 Y96 AA96 AC96 AE96 AG96">
    <cfRule type="cellIs" dxfId="432" priority="823" operator="lessThan">
      <formula>0</formula>
    </cfRule>
  </conditionalFormatting>
  <conditionalFormatting sqref="S96 U96 W96 Y96 AA96 AC96 AE96 AG96">
    <cfRule type="cellIs" dxfId="431" priority="824" operator="lessThan">
      <formula>0</formula>
    </cfRule>
  </conditionalFormatting>
  <conditionalFormatting sqref="U96 W96 Y96 AA96 AC96 AG96">
    <cfRule type="cellIs" dxfId="430" priority="825" operator="lessThan">
      <formula>0</formula>
    </cfRule>
  </conditionalFormatting>
  <conditionalFormatting sqref="U96 W96 Y96 AA96 AC96 AG96">
    <cfRule type="cellIs" dxfId="429" priority="826" operator="lessThan">
      <formula>0</formula>
    </cfRule>
  </conditionalFormatting>
  <conditionalFormatting sqref="F106:J106 L106 N106 P106 R106 T106:V106 X106 Z106 AB106:AF106">
    <cfRule type="cellIs" dxfId="428" priority="827" operator="lessThan">
      <formula>0</formula>
    </cfRule>
  </conditionalFormatting>
  <conditionalFormatting sqref="F106:J106">
    <cfRule type="cellIs" dxfId="427" priority="828" operator="lessThan">
      <formula>0</formula>
    </cfRule>
  </conditionalFormatting>
  <conditionalFormatting sqref="H106 L106">
    <cfRule type="cellIs" dxfId="426" priority="829" operator="lessThan">
      <formula>0</formula>
    </cfRule>
  </conditionalFormatting>
  <conditionalFormatting sqref="N106">
    <cfRule type="cellIs" dxfId="425" priority="830" operator="lessThan">
      <formula>0</formula>
    </cfRule>
  </conditionalFormatting>
  <conditionalFormatting sqref="P106">
    <cfRule type="cellIs" dxfId="424" priority="831" operator="lessThan">
      <formula>0</formula>
    </cfRule>
  </conditionalFormatting>
  <conditionalFormatting sqref="R106 T106 V106 X106 Z106 AB106 AD106 AF106">
    <cfRule type="cellIs" dxfId="423" priority="832" operator="lessThan">
      <formula>0</formula>
    </cfRule>
  </conditionalFormatting>
  <conditionalFormatting sqref="T106:V106 X106 Z106 AB106:AF106">
    <cfRule type="cellIs" dxfId="422" priority="833" operator="lessThan">
      <formula>0</formula>
    </cfRule>
  </conditionalFormatting>
  <conditionalFormatting sqref="G106 K106">
    <cfRule type="cellIs" dxfId="421" priority="834" operator="lessThan">
      <formula>0</formula>
    </cfRule>
  </conditionalFormatting>
  <conditionalFormatting sqref="G106 K106">
    <cfRule type="cellIs" dxfId="420" priority="835" operator="lessThan">
      <formula>0</formula>
    </cfRule>
  </conditionalFormatting>
  <conditionalFormatting sqref="I106 M106">
    <cfRule type="cellIs" dxfId="419" priority="836" operator="lessThan">
      <formula>0</formula>
    </cfRule>
  </conditionalFormatting>
  <conditionalFormatting sqref="I106 M106">
    <cfRule type="cellIs" dxfId="418" priority="837" operator="lessThan">
      <formula>0</formula>
    </cfRule>
  </conditionalFormatting>
  <conditionalFormatting sqref="O106">
    <cfRule type="cellIs" dxfId="417" priority="838" operator="lessThan">
      <formula>0</formula>
    </cfRule>
  </conditionalFormatting>
  <conditionalFormatting sqref="O106">
    <cfRule type="cellIs" dxfId="416" priority="839" operator="lessThan">
      <formula>0</formula>
    </cfRule>
  </conditionalFormatting>
  <conditionalFormatting sqref="Q106">
    <cfRule type="cellIs" dxfId="415" priority="840" operator="lessThan">
      <formula>0</formula>
    </cfRule>
  </conditionalFormatting>
  <conditionalFormatting sqref="Q106">
    <cfRule type="cellIs" dxfId="414" priority="841" operator="lessThan">
      <formula>0</formula>
    </cfRule>
  </conditionalFormatting>
  <conditionalFormatting sqref="S106 U106 W106 Y106 AA106 AC106 AE106 AG106">
    <cfRule type="cellIs" dxfId="413" priority="842" operator="lessThan">
      <formula>0</formula>
    </cfRule>
  </conditionalFormatting>
  <conditionalFormatting sqref="S106 U106 W106 Y106 AA106 AC106 AE106 AG106">
    <cfRule type="cellIs" dxfId="412" priority="843" operator="lessThan">
      <formula>0</formula>
    </cfRule>
  </conditionalFormatting>
  <conditionalFormatting sqref="U106 W106 Y106 AA106 AC106 AG106">
    <cfRule type="cellIs" dxfId="411" priority="844" operator="lessThan">
      <formula>0</formula>
    </cfRule>
  </conditionalFormatting>
  <conditionalFormatting sqref="U106 W106 Y106 AA106 AC106 AG106">
    <cfRule type="cellIs" dxfId="410" priority="845" operator="lessThan">
      <formula>0</formula>
    </cfRule>
  </conditionalFormatting>
  <conditionalFormatting sqref="F105:J105 L105 N105 P105 R105 T105:V105 X105 Z105 AB105:AF105">
    <cfRule type="cellIs" dxfId="409" priority="846" operator="lessThan">
      <formula>0</formula>
    </cfRule>
  </conditionalFormatting>
  <conditionalFormatting sqref="F105:J105">
    <cfRule type="cellIs" dxfId="408" priority="847" operator="lessThan">
      <formula>0</formula>
    </cfRule>
  </conditionalFormatting>
  <conditionalFormatting sqref="H105 L105">
    <cfRule type="cellIs" dxfId="407" priority="848" operator="lessThan">
      <formula>0</formula>
    </cfRule>
  </conditionalFormatting>
  <conditionalFormatting sqref="N105">
    <cfRule type="cellIs" dxfId="406" priority="849" operator="lessThan">
      <formula>0</formula>
    </cfRule>
  </conditionalFormatting>
  <conditionalFormatting sqref="P105">
    <cfRule type="cellIs" dxfId="405" priority="850" operator="lessThan">
      <formula>0</formula>
    </cfRule>
  </conditionalFormatting>
  <conditionalFormatting sqref="R105 T105 V105 X105 Z105 AB105 AD105 AF105">
    <cfRule type="cellIs" dxfId="404" priority="851" operator="lessThan">
      <formula>0</formula>
    </cfRule>
  </conditionalFormatting>
  <conditionalFormatting sqref="T105:V105 X105 Z105 AB105:AF105">
    <cfRule type="cellIs" dxfId="403" priority="852" operator="lessThan">
      <formula>0</formula>
    </cfRule>
  </conditionalFormatting>
  <conditionalFormatting sqref="G105 K105 G110 I110 K110 M110 O110 Q110 S110 U110 W110 Y110 AA110 AC110 AE110 AG110 G115 I115 K115 M115 O115 Q115 S115 U115 W115 Y115 AA115 AC115 AE115 AG115 G123:G124 I123:I124 K123:K124 M123:M124 O123:O124 Q123:Q124 S123:S124 U123:U124 W123:W124 Y123:Y124 AA123:AA124 AC123:AC124 AE123:AE124 AG123:AG124">
    <cfRule type="cellIs" dxfId="402" priority="853" operator="lessThan">
      <formula>0</formula>
    </cfRule>
  </conditionalFormatting>
  <conditionalFormatting sqref="G105 K105 G110 I110 K110 M110 O110 Q110 S110 U110 W110 Y110 AA110 AC110 AE110 AG110 G115 I115 K115 M115 O115 Q115 S115 U115 W115 Y115 AA115 AC115 AE115 AG115 G123:G124 I123:I124 K123:K124 M123:M124 O123:O124 Q123:Q124 S123:S124 U123:U124 W123:W124 Y123:Y124 AA123:AA124 AC123:AC124 AE123:AE124 AG123:AG124">
    <cfRule type="cellIs" dxfId="401" priority="854" operator="lessThan">
      <formula>0</formula>
    </cfRule>
  </conditionalFormatting>
  <conditionalFormatting sqref="I105 M105">
    <cfRule type="cellIs" dxfId="400" priority="855" operator="lessThan">
      <formula>0</formula>
    </cfRule>
  </conditionalFormatting>
  <conditionalFormatting sqref="I105 M105">
    <cfRule type="cellIs" dxfId="399" priority="856" operator="lessThan">
      <formula>0</formula>
    </cfRule>
  </conditionalFormatting>
  <conditionalFormatting sqref="O105">
    <cfRule type="cellIs" dxfId="398" priority="857" operator="lessThan">
      <formula>0</formula>
    </cfRule>
  </conditionalFormatting>
  <conditionalFormatting sqref="O105">
    <cfRule type="cellIs" dxfId="397" priority="858" operator="lessThan">
      <formula>0</formula>
    </cfRule>
  </conditionalFormatting>
  <conditionalFormatting sqref="Q105">
    <cfRule type="cellIs" dxfId="396" priority="859" operator="lessThan">
      <formula>0</formula>
    </cfRule>
  </conditionalFormatting>
  <conditionalFormatting sqref="Q105">
    <cfRule type="cellIs" dxfId="395" priority="860" operator="lessThan">
      <formula>0</formula>
    </cfRule>
  </conditionalFormatting>
  <conditionalFormatting sqref="S105 U105 W105 Y105 AA105 AC105 AE105 AG105">
    <cfRule type="cellIs" dxfId="394" priority="861" operator="lessThan">
      <formula>0</formula>
    </cfRule>
  </conditionalFormatting>
  <conditionalFormatting sqref="S105 U105 W105 Y105 AA105 AC105 AE105 AG105">
    <cfRule type="cellIs" dxfId="393" priority="862" operator="lessThan">
      <formula>0</formula>
    </cfRule>
  </conditionalFormatting>
  <conditionalFormatting sqref="U105 W105 Y105 AA105 AC105 AG105">
    <cfRule type="cellIs" dxfId="392" priority="863" operator="lessThan">
      <formula>0</formula>
    </cfRule>
  </conditionalFormatting>
  <conditionalFormatting sqref="U105 W105 Y105 AA105 AC105 AG105">
    <cfRule type="cellIs" dxfId="391" priority="864" operator="lessThan">
      <formula>0</formula>
    </cfRule>
  </conditionalFormatting>
  <conditionalFormatting sqref="F109:J109 L109 N109 P109 R109 T109:V109 X109 Z109 AB109:AF109">
    <cfRule type="cellIs" dxfId="390" priority="865" operator="lessThan">
      <formula>0</formula>
    </cfRule>
  </conditionalFormatting>
  <conditionalFormatting sqref="F109:J109">
    <cfRule type="cellIs" dxfId="389" priority="866" operator="lessThan">
      <formula>0</formula>
    </cfRule>
  </conditionalFormatting>
  <conditionalFormatting sqref="H109 L109">
    <cfRule type="cellIs" dxfId="388" priority="867" operator="lessThan">
      <formula>0</formula>
    </cfRule>
  </conditionalFormatting>
  <conditionalFormatting sqref="N109">
    <cfRule type="cellIs" dxfId="387" priority="868" operator="lessThan">
      <formula>0</formula>
    </cfRule>
  </conditionalFormatting>
  <conditionalFormatting sqref="P109">
    <cfRule type="cellIs" dxfId="386" priority="869" operator="lessThan">
      <formula>0</formula>
    </cfRule>
  </conditionalFormatting>
  <conditionalFormatting sqref="R109 AD109">
    <cfRule type="cellIs" dxfId="385" priority="870" operator="lessThan">
      <formula>0</formula>
    </cfRule>
  </conditionalFormatting>
  <conditionalFormatting sqref="T109:V109 X109 Z109 AB109:AF109">
    <cfRule type="cellIs" dxfId="384" priority="871" operator="lessThan">
      <formula>0</formula>
    </cfRule>
  </conditionalFormatting>
  <conditionalFormatting sqref="G109 I109 K109 M109 O109 Q109 S109 U109 W109 Y109 AA109 AC109 AE109 AG109">
    <cfRule type="cellIs" dxfId="383" priority="872" operator="lessThan">
      <formula>0</formula>
    </cfRule>
  </conditionalFormatting>
  <conditionalFormatting sqref="G109 I109 K109 M109 O109 Q109 S109 U109 W109 Y109 AA109 AC109 AE109 AG109">
    <cfRule type="cellIs" dxfId="382" priority="873" operator="lessThan">
      <formula>0</formula>
    </cfRule>
  </conditionalFormatting>
  <conditionalFormatting sqref="G109 K109">
    <cfRule type="cellIs" dxfId="381" priority="874" operator="lessThan">
      <formula>0</formula>
    </cfRule>
  </conditionalFormatting>
  <conditionalFormatting sqref="G109 K109">
    <cfRule type="cellIs" dxfId="380" priority="875" operator="lessThan">
      <formula>0</formula>
    </cfRule>
  </conditionalFormatting>
  <conditionalFormatting sqref="I109 M109">
    <cfRule type="cellIs" dxfId="379" priority="876" operator="lessThan">
      <formula>0</formula>
    </cfRule>
  </conditionalFormatting>
  <conditionalFormatting sqref="I109 M109">
    <cfRule type="cellIs" dxfId="378" priority="877" operator="lessThan">
      <formula>0</formula>
    </cfRule>
  </conditionalFormatting>
  <conditionalFormatting sqref="O109">
    <cfRule type="cellIs" dxfId="377" priority="878" operator="lessThan">
      <formula>0</formula>
    </cfRule>
  </conditionalFormatting>
  <conditionalFormatting sqref="O109">
    <cfRule type="cellIs" dxfId="376" priority="879" operator="lessThan">
      <formula>0</formula>
    </cfRule>
  </conditionalFormatting>
  <conditionalFormatting sqref="Q109">
    <cfRule type="cellIs" dxfId="375" priority="880" operator="lessThan">
      <formula>0</formula>
    </cfRule>
  </conditionalFormatting>
  <conditionalFormatting sqref="Q109">
    <cfRule type="cellIs" dxfId="374" priority="881" operator="lessThan">
      <formula>0</formula>
    </cfRule>
  </conditionalFormatting>
  <conditionalFormatting sqref="S109 AE109">
    <cfRule type="cellIs" dxfId="373" priority="882" operator="lessThan">
      <formula>0</formula>
    </cfRule>
  </conditionalFormatting>
  <conditionalFormatting sqref="S109 AE109">
    <cfRule type="cellIs" dxfId="372" priority="883" operator="lessThan">
      <formula>0</formula>
    </cfRule>
  </conditionalFormatting>
  <conditionalFormatting sqref="U109 W109 Y109 AA109 AC109 AG109">
    <cfRule type="cellIs" dxfId="371" priority="884" operator="lessThan">
      <formula>0</formula>
    </cfRule>
  </conditionalFormatting>
  <conditionalFormatting sqref="U109 W109 Y109 AA109 AC109 AG109">
    <cfRule type="cellIs" dxfId="370" priority="885" operator="lessThan">
      <formula>0</formula>
    </cfRule>
  </conditionalFormatting>
  <conditionalFormatting sqref="F131:J131 L131 N131 P131 R131 T131 V131 X131 Z131 AB131 AD131 AF131">
    <cfRule type="cellIs" dxfId="369" priority="886" operator="lessThan">
      <formula>0</formula>
    </cfRule>
  </conditionalFormatting>
  <conditionalFormatting sqref="L131">
    <cfRule type="cellIs" dxfId="368" priority="887" operator="lessThan">
      <formula>0</formula>
    </cfRule>
  </conditionalFormatting>
  <conditionalFormatting sqref="N131">
    <cfRule type="cellIs" dxfId="367" priority="888" operator="lessThan">
      <formula>0</formula>
    </cfRule>
  </conditionalFormatting>
  <conditionalFormatting sqref="P131">
    <cfRule type="cellIs" dxfId="366" priority="889" operator="lessThan">
      <formula>0</formula>
    </cfRule>
  </conditionalFormatting>
  <conditionalFormatting sqref="R131 AD131">
    <cfRule type="cellIs" dxfId="365" priority="890" operator="lessThan">
      <formula>0</formula>
    </cfRule>
  </conditionalFormatting>
  <conditionalFormatting sqref="T131:V131 X131 Z131 AB131:AF131">
    <cfRule type="cellIs" dxfId="364" priority="891" operator="lessThan">
      <formula>0</formula>
    </cfRule>
  </conditionalFormatting>
  <conditionalFormatting sqref="K131 M131 O131 Q131 S131 U131 W131 Y131 AA131 AC131 AE131 AG131">
    <cfRule type="cellIs" dxfId="363" priority="892" operator="lessThan">
      <formula>0</formula>
    </cfRule>
  </conditionalFormatting>
  <conditionalFormatting sqref="K131 M131 O131 Q131 S131 U131 W131 Y131 AA131 AC131 AE131 AG131">
    <cfRule type="cellIs" dxfId="362" priority="893" operator="lessThan">
      <formula>0</formula>
    </cfRule>
  </conditionalFormatting>
  <conditionalFormatting sqref="M131">
    <cfRule type="cellIs" dxfId="361" priority="894" operator="lessThan">
      <formula>0</formula>
    </cfRule>
  </conditionalFormatting>
  <conditionalFormatting sqref="M131">
    <cfRule type="cellIs" dxfId="360" priority="895" operator="lessThan">
      <formula>0</formula>
    </cfRule>
  </conditionalFormatting>
  <conditionalFormatting sqref="O131">
    <cfRule type="cellIs" dxfId="359" priority="896" operator="lessThan">
      <formula>0</formula>
    </cfRule>
  </conditionalFormatting>
  <conditionalFormatting sqref="O131">
    <cfRule type="cellIs" dxfId="358" priority="897" operator="lessThan">
      <formula>0</formula>
    </cfRule>
  </conditionalFormatting>
  <conditionalFormatting sqref="Q131">
    <cfRule type="cellIs" dxfId="357" priority="898" operator="lessThan">
      <formula>0</formula>
    </cfRule>
  </conditionalFormatting>
  <conditionalFormatting sqref="Q131">
    <cfRule type="cellIs" dxfId="356" priority="899" operator="lessThan">
      <formula>0</formula>
    </cfRule>
  </conditionalFormatting>
  <conditionalFormatting sqref="S131 AE131">
    <cfRule type="cellIs" dxfId="355" priority="900" operator="lessThan">
      <formula>0</formula>
    </cfRule>
  </conditionalFormatting>
  <conditionalFormatting sqref="S131 AE131">
    <cfRule type="cellIs" dxfId="354" priority="901" operator="lessThan">
      <formula>0</formula>
    </cfRule>
  </conditionalFormatting>
  <conditionalFormatting sqref="U131 W131 Y131 AA131 AC131 AG131">
    <cfRule type="cellIs" dxfId="353" priority="902" operator="lessThan">
      <formula>0</formula>
    </cfRule>
  </conditionalFormatting>
  <conditionalFormatting sqref="U131 W131 Y131 AA131 AC131 AG131">
    <cfRule type="cellIs" dxfId="352" priority="903" operator="lessThan">
      <formula>0</formula>
    </cfRule>
  </conditionalFormatting>
  <conditionalFormatting sqref="F103:J104 L103:L104 N103:N104 P103:P104 R103:R104 T103:V104 X103:X104 Z103:Z104 AB103:AF104 F108:J110 L108:L110 N108:N110 P108:P110 R108:R110 T108:V110 X108:X110 Z108:Z110 AB108:AF110 F112:J115 L112:L115 N112:N115 P112:P115 R112:R115 T112:V115 X112:X115 Z112:Z115 AB112:AF115 F117:J118 L117:L118 N117:N118 P117:P118 R117:R118 T117:V118 X117:X118 Z117:Z118 AB117:AF118 F123:J124 L123:L124 N123:N124 P123:P124 R123:R124 T123:V124 X123:X124 Z123:Z124 AB123:AF124 F130:J130 L130 N130 P130 R130 T130 V130 X130 Z130 AB130 AD130 AF130">
    <cfRule type="cellIs" dxfId="351" priority="904" operator="lessThan">
      <formula>0</formula>
    </cfRule>
  </conditionalFormatting>
  <conditionalFormatting sqref="F103:J103">
    <cfRule type="cellIs" dxfId="350" priority="905" operator="lessThan">
      <formula>0</formula>
    </cfRule>
  </conditionalFormatting>
  <conditionalFormatting sqref="H103 L103">
    <cfRule type="cellIs" dxfId="349" priority="906" operator="lessThan">
      <formula>0</formula>
    </cfRule>
  </conditionalFormatting>
  <conditionalFormatting sqref="N103">
    <cfRule type="cellIs" dxfId="348" priority="907" operator="lessThan">
      <formula>0</formula>
    </cfRule>
  </conditionalFormatting>
  <conditionalFormatting sqref="P103">
    <cfRule type="cellIs" dxfId="347" priority="908" operator="lessThan">
      <formula>0</formula>
    </cfRule>
  </conditionalFormatting>
  <conditionalFormatting sqref="R103 T103 V103 X103 Z103 AB103 AD103 AF103">
    <cfRule type="cellIs" dxfId="346" priority="909" operator="lessThan">
      <formula>0</formula>
    </cfRule>
  </conditionalFormatting>
  <conditionalFormatting sqref="T103:V103 X103 Z103 AB103:AF103">
    <cfRule type="cellIs" dxfId="345" priority="910" operator="lessThan">
      <formula>0</formula>
    </cfRule>
  </conditionalFormatting>
  <conditionalFormatting sqref="G103 I103 K103 M103 O103 Q103 S103 U103 W103 Y103 AA103 AC103 AE103 AG103">
    <cfRule type="cellIs" dxfId="344" priority="911" operator="lessThan">
      <formula>0</formula>
    </cfRule>
  </conditionalFormatting>
  <conditionalFormatting sqref="G103 I103 K103 M103 O103 Q103 S103 U103 W103 Y103 AA103 AC103 AE103 AG103">
    <cfRule type="cellIs" dxfId="343" priority="912" operator="lessThan">
      <formula>0</formula>
    </cfRule>
  </conditionalFormatting>
  <conditionalFormatting sqref="G103 K103">
    <cfRule type="cellIs" dxfId="342" priority="913" operator="lessThan">
      <formula>0</formula>
    </cfRule>
  </conditionalFormatting>
  <conditionalFormatting sqref="G103 K103">
    <cfRule type="cellIs" dxfId="341" priority="914" operator="lessThan">
      <formula>0</formula>
    </cfRule>
  </conditionalFormatting>
  <conditionalFormatting sqref="I103 M103">
    <cfRule type="cellIs" dxfId="340" priority="915" operator="lessThan">
      <formula>0</formula>
    </cfRule>
  </conditionalFormatting>
  <conditionalFormatting sqref="I103 M103">
    <cfRule type="cellIs" dxfId="339" priority="916" operator="lessThan">
      <formula>0</formula>
    </cfRule>
  </conditionalFormatting>
  <conditionalFormatting sqref="O103">
    <cfRule type="cellIs" dxfId="338" priority="917" operator="lessThan">
      <formula>0</formula>
    </cfRule>
  </conditionalFormatting>
  <conditionalFormatting sqref="O103">
    <cfRule type="cellIs" dxfId="337" priority="918" operator="lessThan">
      <formula>0</formula>
    </cfRule>
  </conditionalFormatting>
  <conditionalFormatting sqref="Q103">
    <cfRule type="cellIs" dxfId="336" priority="919" operator="lessThan">
      <formula>0</formula>
    </cfRule>
  </conditionalFormatting>
  <conditionalFormatting sqref="Q103">
    <cfRule type="cellIs" dxfId="335" priority="920" operator="lessThan">
      <formula>0</formula>
    </cfRule>
  </conditionalFormatting>
  <conditionalFormatting sqref="S103 U103 W103 Y103 AA103 AC103 AE103 AG103">
    <cfRule type="cellIs" dxfId="334" priority="921" operator="lessThan">
      <formula>0</formula>
    </cfRule>
  </conditionalFormatting>
  <conditionalFormatting sqref="S103 U103 W103 Y103 AA103 AC103 AE103 AG103">
    <cfRule type="cellIs" dxfId="333" priority="922" operator="lessThan">
      <formula>0</formula>
    </cfRule>
  </conditionalFormatting>
  <conditionalFormatting sqref="U103 W103 Y103 AA103 AC103 AG103">
    <cfRule type="cellIs" dxfId="332" priority="923" operator="lessThan">
      <formula>0</formula>
    </cfRule>
  </conditionalFormatting>
  <conditionalFormatting sqref="U103 W103 Y103 AA103 AC103 AG103">
    <cfRule type="cellIs" dxfId="331" priority="924" operator="lessThan">
      <formula>0</formula>
    </cfRule>
  </conditionalFormatting>
  <conditionalFormatting sqref="F102:J102">
    <cfRule type="cellIs" dxfId="330" priority="925" operator="lessThan">
      <formula>0</formula>
    </cfRule>
  </conditionalFormatting>
  <conditionalFormatting sqref="H102 L102">
    <cfRule type="cellIs" dxfId="329" priority="926" operator="lessThan">
      <formula>0</formula>
    </cfRule>
  </conditionalFormatting>
  <conditionalFormatting sqref="N102">
    <cfRule type="cellIs" dxfId="328" priority="927" operator="lessThan">
      <formula>0</formula>
    </cfRule>
  </conditionalFormatting>
  <conditionalFormatting sqref="P102">
    <cfRule type="cellIs" dxfId="327" priority="928" operator="lessThan">
      <formula>0</formula>
    </cfRule>
  </conditionalFormatting>
  <conditionalFormatting sqref="R102 T102 V102 X102 Z102 AB102 AD102 AF102">
    <cfRule type="cellIs" dxfId="326" priority="929" operator="lessThan">
      <formula>0</formula>
    </cfRule>
  </conditionalFormatting>
  <conditionalFormatting sqref="T102:V102 X102 Z102 AB102:AF102">
    <cfRule type="cellIs" dxfId="325" priority="930" operator="lessThan">
      <formula>0</formula>
    </cfRule>
  </conditionalFormatting>
  <conditionalFormatting sqref="G102 K102">
    <cfRule type="cellIs" dxfId="324" priority="931" operator="lessThan">
      <formula>0</formula>
    </cfRule>
  </conditionalFormatting>
  <conditionalFormatting sqref="G102 K102">
    <cfRule type="cellIs" dxfId="323" priority="932" operator="lessThan">
      <formula>0</formula>
    </cfRule>
  </conditionalFormatting>
  <conditionalFormatting sqref="I102 M102">
    <cfRule type="cellIs" dxfId="322" priority="933" operator="lessThan">
      <formula>0</formula>
    </cfRule>
  </conditionalFormatting>
  <conditionalFormatting sqref="I102 M102">
    <cfRule type="cellIs" dxfId="321" priority="934" operator="lessThan">
      <formula>0</formula>
    </cfRule>
  </conditionalFormatting>
  <conditionalFormatting sqref="O102">
    <cfRule type="cellIs" dxfId="320" priority="935" operator="lessThan">
      <formula>0</formula>
    </cfRule>
  </conditionalFormatting>
  <conditionalFormatting sqref="O102">
    <cfRule type="cellIs" dxfId="319" priority="936" operator="lessThan">
      <formula>0</formula>
    </cfRule>
  </conditionalFormatting>
  <conditionalFormatting sqref="Q102">
    <cfRule type="cellIs" dxfId="318" priority="937" operator="lessThan">
      <formula>0</formula>
    </cfRule>
  </conditionalFormatting>
  <conditionalFormatting sqref="Q102">
    <cfRule type="cellIs" dxfId="317" priority="938" operator="lessThan">
      <formula>0</formula>
    </cfRule>
  </conditionalFormatting>
  <conditionalFormatting sqref="S102 U102 W102 Y102 AA102 AC102 AE102 AG102">
    <cfRule type="cellIs" dxfId="316" priority="939" operator="lessThan">
      <formula>0</formula>
    </cfRule>
  </conditionalFormatting>
  <conditionalFormatting sqref="S102 U102 W102 Y102 AA102 AC102 AE102 AG102">
    <cfRule type="cellIs" dxfId="315" priority="940" operator="lessThan">
      <formula>0</formula>
    </cfRule>
  </conditionalFormatting>
  <conditionalFormatting sqref="U102 W102 Y102 AA102 AC102 AG102">
    <cfRule type="cellIs" dxfId="314" priority="941" operator="lessThan">
      <formula>0</formula>
    </cfRule>
  </conditionalFormatting>
  <conditionalFormatting sqref="U102 W102 Y102 AA102 AC102 AG102">
    <cfRule type="cellIs" dxfId="313" priority="942" operator="lessThan">
      <formula>0</formula>
    </cfRule>
  </conditionalFormatting>
  <conditionalFormatting sqref="F61:J61 L61 N61 P61 R61 T61:V61 X61 Z61 AB61:AF61">
    <cfRule type="cellIs" dxfId="312" priority="943" operator="lessThan">
      <formula>0</formula>
    </cfRule>
  </conditionalFormatting>
  <conditionalFormatting sqref="F61:J61">
    <cfRule type="cellIs" dxfId="311" priority="944" operator="lessThan">
      <formula>0</formula>
    </cfRule>
  </conditionalFormatting>
  <conditionalFormatting sqref="H61 L61">
    <cfRule type="cellIs" dxfId="310" priority="945" operator="lessThan">
      <formula>0</formula>
    </cfRule>
  </conditionalFormatting>
  <conditionalFormatting sqref="N61">
    <cfRule type="cellIs" dxfId="309" priority="946" operator="lessThan">
      <formula>0</formula>
    </cfRule>
  </conditionalFormatting>
  <conditionalFormatting sqref="P61">
    <cfRule type="cellIs" dxfId="308" priority="947" operator="lessThan">
      <formula>0</formula>
    </cfRule>
  </conditionalFormatting>
  <conditionalFormatting sqref="R61 T61 V61 X61 Z61 AB61 AD61">
    <cfRule type="cellIs" dxfId="307" priority="948" operator="lessThan">
      <formula>0</formula>
    </cfRule>
  </conditionalFormatting>
  <conditionalFormatting sqref="T61:V61 X61 Z61 AB61:AF61">
    <cfRule type="cellIs" dxfId="306" priority="949" operator="lessThan">
      <formula>0</formula>
    </cfRule>
  </conditionalFormatting>
  <conditionalFormatting sqref="G61 K61">
    <cfRule type="cellIs" dxfId="305" priority="950" operator="lessThan">
      <formula>0</formula>
    </cfRule>
  </conditionalFormatting>
  <conditionalFormatting sqref="G61 K61">
    <cfRule type="cellIs" dxfId="304" priority="951" operator="lessThan">
      <formula>0</formula>
    </cfRule>
  </conditionalFormatting>
  <conditionalFormatting sqref="I61 M61">
    <cfRule type="cellIs" dxfId="303" priority="952" operator="lessThan">
      <formula>0</formula>
    </cfRule>
  </conditionalFormatting>
  <conditionalFormatting sqref="I61 M61">
    <cfRule type="cellIs" dxfId="302" priority="953" operator="lessThan">
      <formula>0</formula>
    </cfRule>
  </conditionalFormatting>
  <conditionalFormatting sqref="O61">
    <cfRule type="cellIs" dxfId="301" priority="954" operator="lessThan">
      <formula>0</formula>
    </cfRule>
  </conditionalFormatting>
  <conditionalFormatting sqref="O61">
    <cfRule type="cellIs" dxfId="300" priority="955" operator="lessThan">
      <formula>0</formula>
    </cfRule>
  </conditionalFormatting>
  <conditionalFormatting sqref="Q61">
    <cfRule type="cellIs" dxfId="299" priority="956" operator="lessThan">
      <formula>0</formula>
    </cfRule>
  </conditionalFormatting>
  <conditionalFormatting sqref="Q61">
    <cfRule type="cellIs" dxfId="298" priority="957" operator="lessThan">
      <formula>0</formula>
    </cfRule>
  </conditionalFormatting>
  <conditionalFormatting sqref="S61 AE61">
    <cfRule type="cellIs" dxfId="297" priority="958" operator="lessThan">
      <formula>0</formula>
    </cfRule>
  </conditionalFormatting>
  <conditionalFormatting sqref="S61 AE61">
    <cfRule type="cellIs" dxfId="296" priority="959" operator="lessThan">
      <formula>0</formula>
    </cfRule>
  </conditionalFormatting>
  <conditionalFormatting sqref="U61 W61 Y61 AA61 AC61 AG61">
    <cfRule type="cellIs" dxfId="295" priority="960" operator="lessThan">
      <formula>0</formula>
    </cfRule>
  </conditionalFormatting>
  <conditionalFormatting sqref="U61 W61 Y61 AA61 AC61 AG61">
    <cfRule type="cellIs" dxfId="294" priority="961" operator="lessThan">
      <formula>0</formula>
    </cfRule>
  </conditionalFormatting>
  <conditionalFormatting sqref="F69:J69 L69 N69 P69 R69 T69:V69 X69 Z69 AB69:AF69">
    <cfRule type="cellIs" dxfId="293" priority="962" operator="lessThan">
      <formula>0</formula>
    </cfRule>
  </conditionalFormatting>
  <conditionalFormatting sqref="F69:J69 L69 N69 P69 R69 T69 V69 X69 Z69 AB69 AD69 AF69">
    <cfRule type="cellIs" dxfId="292" priority="963" operator="lessThan">
      <formula>0</formula>
    </cfRule>
  </conditionalFormatting>
  <conditionalFormatting sqref="H69 L69">
    <cfRule type="cellIs" dxfId="291" priority="964" operator="lessThan">
      <formula>0</formula>
    </cfRule>
  </conditionalFormatting>
  <conditionalFormatting sqref="N69">
    <cfRule type="cellIs" dxfId="290" priority="965" operator="lessThan">
      <formula>0</formula>
    </cfRule>
  </conditionalFormatting>
  <conditionalFormatting sqref="P69">
    <cfRule type="cellIs" dxfId="289" priority="966" operator="lessThan">
      <formula>0</formula>
    </cfRule>
  </conditionalFormatting>
  <conditionalFormatting sqref="R69 AD69">
    <cfRule type="cellIs" dxfId="288" priority="967" operator="lessThan">
      <formula>0</formula>
    </cfRule>
  </conditionalFormatting>
  <conditionalFormatting sqref="T69:V69 X69 Z69 AB69:AF69">
    <cfRule type="cellIs" dxfId="287" priority="968" operator="lessThan">
      <formula>0</formula>
    </cfRule>
  </conditionalFormatting>
  <conditionalFormatting sqref="G69 I69 K69 M69 O69 Q69 S69 U69 W69 Y69 AA69 AC69 AE69 AG69">
    <cfRule type="cellIs" dxfId="286" priority="969" operator="lessThan">
      <formula>0</formula>
    </cfRule>
  </conditionalFormatting>
  <conditionalFormatting sqref="G69 I69 K69 M69 O69 Q69 S69 U69 W69 Y69 AA69 AC69 AE69 AG69">
    <cfRule type="cellIs" dxfId="285" priority="970" operator="lessThan">
      <formula>0</formula>
    </cfRule>
  </conditionalFormatting>
  <conditionalFormatting sqref="I69 M69">
    <cfRule type="cellIs" dxfId="284" priority="971" operator="lessThan">
      <formula>0</formula>
    </cfRule>
  </conditionalFormatting>
  <conditionalFormatting sqref="I69 M69">
    <cfRule type="cellIs" dxfId="283" priority="972" operator="lessThan">
      <formula>0</formula>
    </cfRule>
  </conditionalFormatting>
  <conditionalFormatting sqref="O69">
    <cfRule type="cellIs" dxfId="282" priority="973" operator="lessThan">
      <formula>0</formula>
    </cfRule>
  </conditionalFormatting>
  <conditionalFormatting sqref="O69">
    <cfRule type="cellIs" dxfId="281" priority="974" operator="lessThan">
      <formula>0</formula>
    </cfRule>
  </conditionalFormatting>
  <conditionalFormatting sqref="Q69">
    <cfRule type="cellIs" dxfId="280" priority="975" operator="lessThan">
      <formula>0</formula>
    </cfRule>
  </conditionalFormatting>
  <conditionalFormatting sqref="Q69">
    <cfRule type="cellIs" dxfId="279" priority="976" operator="lessThan">
      <formula>0</formula>
    </cfRule>
  </conditionalFormatting>
  <conditionalFormatting sqref="S69 AE69">
    <cfRule type="cellIs" dxfId="278" priority="977" operator="lessThan">
      <formula>0</formula>
    </cfRule>
  </conditionalFormatting>
  <conditionalFormatting sqref="S69 AE69">
    <cfRule type="cellIs" dxfId="277" priority="978" operator="lessThan">
      <formula>0</formula>
    </cfRule>
  </conditionalFormatting>
  <conditionalFormatting sqref="U69 W69 Y69 AA69 AC69 AG69">
    <cfRule type="cellIs" dxfId="276" priority="979" operator="lessThan">
      <formula>0</formula>
    </cfRule>
  </conditionalFormatting>
  <conditionalFormatting sqref="U69 W69 Y69 AA69 AC69 AG69">
    <cfRule type="cellIs" dxfId="275" priority="980" operator="lessThan">
      <formula>0</formula>
    </cfRule>
  </conditionalFormatting>
  <conditionalFormatting sqref="F71:J73 L71:L73 N71:N73 P71:P73 R71:R73 T71:V73 X71:X73 Z71:Z73 AB71:AF73 F75:J75 L75 N75 P75 R75 T75 V75 X75 Z75 AB75 AD75 AF75">
    <cfRule type="cellIs" dxfId="274" priority="981" operator="lessThan">
      <formula>0</formula>
    </cfRule>
  </conditionalFormatting>
  <conditionalFormatting sqref="F71:J73 L71:L73 N71:N73 P71:P73 R71:R73 T71:T73 V71:V73 X71:X73 Z71:Z73 AB71:AB73 AD71:AD73 AF71:AF73 F75:J75 L75 N75 P75 R75 T75 V75 X75 Z75 AB75 AD75 AF75">
    <cfRule type="cellIs" dxfId="273" priority="982" operator="lessThan">
      <formula>0</formula>
    </cfRule>
  </conditionalFormatting>
  <conditionalFormatting sqref="H71:H73 L71:L73">
    <cfRule type="cellIs" dxfId="272" priority="983" operator="lessThan">
      <formula>0</formula>
    </cfRule>
  </conditionalFormatting>
  <conditionalFormatting sqref="N71:N73">
    <cfRule type="cellIs" dxfId="271" priority="984" operator="lessThan">
      <formula>0</formula>
    </cfRule>
  </conditionalFormatting>
  <conditionalFormatting sqref="P71:P73">
    <cfRule type="cellIs" dxfId="270" priority="985" operator="lessThan">
      <formula>0</formula>
    </cfRule>
  </conditionalFormatting>
  <conditionalFormatting sqref="R71:R73 AD71:AD73">
    <cfRule type="cellIs" dxfId="269" priority="986" operator="lessThan">
      <formula>0</formula>
    </cfRule>
  </conditionalFormatting>
  <conditionalFormatting sqref="T71:V73 X71:X73 Z71:Z73 AB71:AF73">
    <cfRule type="cellIs" dxfId="268" priority="987" operator="lessThan">
      <formula>0</formula>
    </cfRule>
  </conditionalFormatting>
  <conditionalFormatting sqref="G30:G39 I30:I39 K30:K39 M30:M39 O30:O39 Q30:Q39 S30:S39 U30:U39 W30:W39 Y30:Y39 AA30:AA39 AC30:AC39 AE30:AE39 AG30:AG39 AI39:AO39">
    <cfRule type="cellIs" dxfId="267" priority="988" operator="lessThan">
      <formula>0</formula>
    </cfRule>
  </conditionalFormatting>
  <conditionalFormatting sqref="G19:G27 I19:I27 K19:K27 M19:M27 O19:O27 Q19:Q27 S19:S27 U19:U27 W19:W27 Y19:Y27 AA19:AA27 AC19:AC27 AE19:AE27 AG19:AG27 AI26:AO27 G43:G51 I43:I51 K43:K51 M43:M51 O43:O51 Q43:Q51 S43:S51 U43:U51 W43:W51 Y43:Y51 AA43:AA51 AC43:AC51 AE43:AE51 AG43:AG51 AI49:AO51">
    <cfRule type="cellIs" dxfId="266" priority="989" operator="lessThan">
      <formula>0</formula>
    </cfRule>
  </conditionalFormatting>
  <conditionalFormatting sqref="G49:G51 I49:I51 K49:K51 M49:M51 O49:O51 Q49:Q51 S49:S51 U49:U51 W49:W51 Y49:Y51 AA49:AA51 AC49:AC51 AE49:AE51 AG49:AG51 AI49:AO51">
    <cfRule type="cellIs" dxfId="265" priority="990" operator="lessThan">
      <formula>0</formula>
    </cfRule>
  </conditionalFormatting>
  <conditionalFormatting sqref="G40:G41 I40:I41 K40:K41 M40:M41 O40:O41 Q40:Q41 S40:S41 U40:U41 W40:W41 Y40:Y41 AA40:AA41 AC40:AC41 AE40:AE41 AG40:AG41 AI40:AO40">
    <cfRule type="cellIs" dxfId="264" priority="991" operator="lessThan">
      <formula>0</formula>
    </cfRule>
  </conditionalFormatting>
  <conditionalFormatting sqref="G52 I52 K52 M52 O52 Q52 S52 U52 W52 Y52 AA52 AC52 AE52 AG52">
    <cfRule type="cellIs" dxfId="263" priority="992" operator="lessThan">
      <formula>0</formula>
    </cfRule>
  </conditionalFormatting>
  <conditionalFormatting sqref="G25 I25 K25 M25 O25 Q25 S25 U25 W25 Y25 AA25 AC25 AE25 AG25 I49:I51 M49:M51 S49:S51 U49:U51 W49:W51 Y49:Y51 AA49:AA51 AC49:AC51 AE49:AE51 AG49:AG51">
    <cfRule type="cellIs" dxfId="262" priority="993" operator="lessThan">
      <formula>0</formula>
    </cfRule>
  </conditionalFormatting>
  <conditionalFormatting sqref="I49 M49 S49 U49 W49 Y49 AA49 AC49 AE49 AG49">
    <cfRule type="cellIs" dxfId="261" priority="994" operator="lessThan">
      <formula>0</formula>
    </cfRule>
  </conditionalFormatting>
  <conditionalFormatting sqref="O49:O51 U49:U51 W49:W51 Y49:Y51 AA49:AA51 AC49:AC51 AG49:AG51 AI49:AO51">
    <cfRule type="cellIs" dxfId="260" priority="995" operator="lessThan">
      <formula>0</formula>
    </cfRule>
  </conditionalFormatting>
  <conditionalFormatting sqref="O49 U49 W49 Y49 AA49 AC49 AG49 AI49:AO49">
    <cfRule type="cellIs" dxfId="259" priority="996" operator="lessThan">
      <formula>0</formula>
    </cfRule>
  </conditionalFormatting>
  <conditionalFormatting sqref="K29:K39 G30:G39 I30 M30 O30 Q30 S30 U30 W30 Y30 AA30 AC30 AG30">
    <cfRule type="cellIs" dxfId="258" priority="997" operator="lessThan">
      <formula>0</formula>
    </cfRule>
  </conditionalFormatting>
  <conditionalFormatting sqref="G19:G27 I19:I27 K19:K27 M19:M27 O19:O27 Q19:Q27 S19:S27 U19:U27 W19:W27 Y19:Y27 AA19:AA27 AC19:AC27 AE19:AE27 AG19:AG27 K42:K51 G43:G51">
    <cfRule type="cellIs" dxfId="257" priority="998" operator="lessThan">
      <formula>0</formula>
    </cfRule>
  </conditionalFormatting>
  <conditionalFormatting sqref="G49 K49">
    <cfRule type="cellIs" dxfId="256" priority="999" operator="lessThan">
      <formula>0</formula>
    </cfRule>
  </conditionalFormatting>
  <conditionalFormatting sqref="G28 K28">
    <cfRule type="cellIs" dxfId="255" priority="1000" operator="lessThan">
      <formula>0</formula>
    </cfRule>
  </conditionalFormatting>
  <conditionalFormatting sqref="G40:G41 K40:K41">
    <cfRule type="cellIs" dxfId="254" priority="1001" operator="lessThan">
      <formula>0</formula>
    </cfRule>
  </conditionalFormatting>
  <conditionalFormatting sqref="M29:M39 I30:I39">
    <cfRule type="cellIs" dxfId="253" priority="1002" operator="lessThan">
      <formula>0</formula>
    </cfRule>
  </conditionalFormatting>
  <conditionalFormatting sqref="G19:G27 I19:I27 K19:K27 M19:M27 O19:O27 Q19:Q27 S19:S27 U19:U27 W19:W27 Y19:Y27 AA19:AA27 AC19:AC27 AE19:AE27 AG19:AG27 M42:M51 I43:I51">
    <cfRule type="cellIs" dxfId="252" priority="1003" operator="lessThan">
      <formula>0</formula>
    </cfRule>
  </conditionalFormatting>
  <conditionalFormatting sqref="I49 M49">
    <cfRule type="cellIs" dxfId="251" priority="1004" operator="lessThan">
      <formula>0</formula>
    </cfRule>
  </conditionalFormatting>
  <conditionalFormatting sqref="I28 M28">
    <cfRule type="cellIs" dxfId="250" priority="1005" operator="lessThan">
      <formula>0</formula>
    </cfRule>
  </conditionalFormatting>
  <conditionalFormatting sqref="I40:I41 M40:M41">
    <cfRule type="cellIs" dxfId="249" priority="1006" operator="lessThan">
      <formula>0</formula>
    </cfRule>
  </conditionalFormatting>
  <conditionalFormatting sqref="O29:O39">
    <cfRule type="cellIs" dxfId="248" priority="1007" operator="lessThan">
      <formula>0</formula>
    </cfRule>
  </conditionalFormatting>
  <conditionalFormatting sqref="G19:G22 I19:I22 K19:K22 M19:M22 O19:O27 Q19:Q22 S19:S22 U19:U22 W19:W22 Y19:Y22 AA19:AA22 AC19:AC22 AE19:AE22 AG19:AG22 O42:O51">
    <cfRule type="cellIs" dxfId="247" priority="1008" operator="lessThan">
      <formula>0</formula>
    </cfRule>
  </conditionalFormatting>
  <conditionalFormatting sqref="O49">
    <cfRule type="cellIs" dxfId="246" priority="1009" operator="lessThan">
      <formula>0</formula>
    </cfRule>
  </conditionalFormatting>
  <conditionalFormatting sqref="O28">
    <cfRule type="cellIs" dxfId="245" priority="1010" operator="lessThan">
      <formula>0</formula>
    </cfRule>
  </conditionalFormatting>
  <conditionalFormatting sqref="O40:O41">
    <cfRule type="cellIs" dxfId="244" priority="1011" operator="lessThan">
      <formula>0</formula>
    </cfRule>
  </conditionalFormatting>
  <conditionalFormatting sqref="Q29:Q39">
    <cfRule type="cellIs" dxfId="243" priority="1012" operator="lessThan">
      <formula>0</formula>
    </cfRule>
  </conditionalFormatting>
  <conditionalFormatting sqref="G19:G27 I19:I27 K19:K27 M19:M27 O19:O27 Q19:Q27 S19:S27 U19:U27 W19:W27 Y19:Y27 AA19:AA27 AC19:AC27 AE19:AE27 AG19:AG27 Q42:Q51">
    <cfRule type="cellIs" dxfId="242" priority="1013" operator="lessThan">
      <formula>0</formula>
    </cfRule>
  </conditionalFormatting>
  <conditionalFormatting sqref="Q49">
    <cfRule type="cellIs" dxfId="241" priority="1014" operator="lessThan">
      <formula>0</formula>
    </cfRule>
  </conditionalFormatting>
  <conditionalFormatting sqref="Q28">
    <cfRule type="cellIs" dxfId="240" priority="1015" operator="lessThan">
      <formula>0</formula>
    </cfRule>
  </conditionalFormatting>
  <conditionalFormatting sqref="Q40:Q41">
    <cfRule type="cellIs" dxfId="239" priority="1016" operator="lessThan">
      <formula>0</formula>
    </cfRule>
  </conditionalFormatting>
  <conditionalFormatting sqref="S29:S39 AE29:AE39 U30 W30 Y30 AC30">
    <cfRule type="cellIs" dxfId="238" priority="1017" operator="lessThan">
      <formula>0</formula>
    </cfRule>
  </conditionalFormatting>
  <conditionalFormatting sqref="S19:S27 AE19:AE27 S42:S51 AE42:AE51">
    <cfRule type="cellIs" dxfId="237" priority="1018" operator="lessThan">
      <formula>0</formula>
    </cfRule>
  </conditionalFormatting>
  <conditionalFormatting sqref="S49 AE49">
    <cfRule type="cellIs" dxfId="236" priority="1019" operator="lessThan">
      <formula>0</formula>
    </cfRule>
  </conditionalFormatting>
  <conditionalFormatting sqref="S28 AE28">
    <cfRule type="cellIs" dxfId="235" priority="1020" operator="lessThan">
      <formula>0</formula>
    </cfRule>
  </conditionalFormatting>
  <conditionalFormatting sqref="S40:S41 AE40:AE41">
    <cfRule type="cellIs" dxfId="234" priority="1021" operator="lessThan">
      <formula>0</formula>
    </cfRule>
  </conditionalFormatting>
  <conditionalFormatting sqref="U29:U39 W29:W39 Y29:Y39 AA29:AA39 AC29:AC39 AG29:AG39">
    <cfRule type="cellIs" dxfId="233" priority="1022" operator="lessThan">
      <formula>0</formula>
    </cfRule>
  </conditionalFormatting>
  <conditionalFormatting sqref="U19:U27 W19:W27 Y19:Y27 AA19:AA27 AC19:AC27 AE19:AE27 AG19:AG27 U42:U51 W42:W51 Y42:Y51 AA42:AA51 AC42:AC51 AG42:AG51">
    <cfRule type="cellIs" dxfId="232" priority="1023" operator="lessThan">
      <formula>0</formula>
    </cfRule>
  </conditionalFormatting>
  <conditionalFormatting sqref="U49 W49 Y49 AA49 AC49 AG49">
    <cfRule type="cellIs" dxfId="231" priority="1024" operator="lessThan">
      <formula>0</formula>
    </cfRule>
  </conditionalFormatting>
  <conditionalFormatting sqref="U28 W28 Y28 AA28 AC28 AE28 AG28">
    <cfRule type="cellIs" dxfId="230" priority="1025" operator="lessThan">
      <formula>0</formula>
    </cfRule>
  </conditionalFormatting>
  <conditionalFormatting sqref="U40:U41 W40:W41 Y40:Y41 AA40:AA41 AC40:AC41 AG40:AG41">
    <cfRule type="cellIs" dxfId="229" priority="1026" operator="lessThan">
      <formula>0</formula>
    </cfRule>
  </conditionalFormatting>
  <conditionalFormatting sqref="AI29:AP39">
    <cfRule type="cellIs" dxfId="228" priority="1027" operator="lessThan">
      <formula>0</formula>
    </cfRule>
  </conditionalFormatting>
  <conditionalFormatting sqref="AI19:AP27 AI42:AP51">
    <cfRule type="cellIs" dxfId="227" priority="1028" operator="lessThan">
      <formula>0</formula>
    </cfRule>
  </conditionalFormatting>
  <conditionalFormatting sqref="AI49:AP49">
    <cfRule type="cellIs" dxfId="226" priority="1029" operator="lessThan">
      <formula>0</formula>
    </cfRule>
  </conditionalFormatting>
  <conditionalFormatting sqref="AI28:AP28">
    <cfRule type="cellIs" dxfId="225" priority="1030" operator="lessThan">
      <formula>0</formula>
    </cfRule>
  </conditionalFormatting>
  <conditionalFormatting sqref="AI40:AP41">
    <cfRule type="cellIs" dxfId="224" priority="1031" operator="lessThan">
      <formula>0</formula>
    </cfRule>
  </conditionalFormatting>
  <conditionalFormatting sqref="F53:J53 L53 N53 P53 R53 T53:V53 X53 Z53 AB53:AF53">
    <cfRule type="cellIs" dxfId="223" priority="1032" operator="lessThan">
      <formula>0</formula>
    </cfRule>
  </conditionalFormatting>
  <conditionalFormatting sqref="F53:J53 L53 N53 P53 R53 T53:V53 X53 Z53 AB53:AF53">
    <cfRule type="cellIs" dxfId="222" priority="1033" operator="lessThan">
      <formula>0</formula>
    </cfRule>
  </conditionalFormatting>
  <conditionalFormatting sqref="H53 L53 N53">
    <cfRule type="cellIs" dxfId="221" priority="1034" operator="lessThan">
      <formula>0</formula>
    </cfRule>
  </conditionalFormatting>
  <conditionalFormatting sqref="H53 L53 N53">
    <cfRule type="cellIs" dxfId="220" priority="1035" operator="lessThan">
      <formula>0</formula>
    </cfRule>
  </conditionalFormatting>
  <conditionalFormatting sqref="N53">
    <cfRule type="cellIs" dxfId="219" priority="1036" operator="lessThan">
      <formula>0</formula>
    </cfRule>
  </conditionalFormatting>
  <conditionalFormatting sqref="N53">
    <cfRule type="cellIs" dxfId="218" priority="1037" operator="lessThan">
      <formula>0</formula>
    </cfRule>
  </conditionalFormatting>
  <conditionalFormatting sqref="P53">
    <cfRule type="cellIs" dxfId="217" priority="1038" operator="lessThan">
      <formula>0</formula>
    </cfRule>
  </conditionalFormatting>
  <conditionalFormatting sqref="P53">
    <cfRule type="cellIs" dxfId="216" priority="1039" operator="lessThan">
      <formula>0</formula>
    </cfRule>
  </conditionalFormatting>
  <conditionalFormatting sqref="R53 AD53">
    <cfRule type="cellIs" dxfId="215" priority="1040" operator="lessThan">
      <formula>0</formula>
    </cfRule>
  </conditionalFormatting>
  <conditionalFormatting sqref="R53 AD53">
    <cfRule type="cellIs" dxfId="214" priority="1041" operator="lessThan">
      <formula>0</formula>
    </cfRule>
  </conditionalFormatting>
  <conditionalFormatting sqref="T53:V53 X53 Z53 AB53:AF53">
    <cfRule type="cellIs" dxfId="213" priority="1042" operator="lessThan">
      <formula>0</formula>
    </cfRule>
  </conditionalFormatting>
  <conditionalFormatting sqref="T53:V53 X53 Z53 AB53:AF53">
    <cfRule type="cellIs" dxfId="212" priority="1043" operator="lessThan">
      <formula>0</formula>
    </cfRule>
  </conditionalFormatting>
  <conditionalFormatting sqref="F95:J95 L95 N95 P95 R95 T95:V95 X95 Z95 AB95:AF95">
    <cfRule type="cellIs" dxfId="211" priority="1044" operator="lessThan">
      <formula>0</formula>
    </cfRule>
  </conditionalFormatting>
  <conditionalFormatting sqref="F95:J95">
    <cfRule type="cellIs" dxfId="210" priority="1045" operator="lessThan">
      <formula>0</formula>
    </cfRule>
  </conditionalFormatting>
  <conditionalFormatting sqref="H95 L95">
    <cfRule type="cellIs" dxfId="209" priority="1046" operator="lessThan">
      <formula>0</formula>
    </cfRule>
  </conditionalFormatting>
  <conditionalFormatting sqref="N95">
    <cfRule type="cellIs" dxfId="208" priority="1047" operator="lessThan">
      <formula>0</formula>
    </cfRule>
  </conditionalFormatting>
  <conditionalFormatting sqref="P95">
    <cfRule type="cellIs" dxfId="207" priority="1048" operator="lessThan">
      <formula>0</formula>
    </cfRule>
  </conditionalFormatting>
  <conditionalFormatting sqref="R95 T95 V95 X95 Z95 AB95 AD95 AF95">
    <cfRule type="cellIs" dxfId="206" priority="1049" operator="lessThan">
      <formula>0</formula>
    </cfRule>
  </conditionalFormatting>
  <conditionalFormatting sqref="T95:V95 X95 Z95 AB95:AF95">
    <cfRule type="cellIs" dxfId="205" priority="1050" operator="lessThan">
      <formula>0</formula>
    </cfRule>
  </conditionalFormatting>
  <conditionalFormatting sqref="F116:J116 L116 N116 P116 R116 T116 V116 X116 Z116 AB116 AD116 AF116">
    <cfRule type="cellIs" dxfId="204" priority="1051" operator="lessThan">
      <formula>0</formula>
    </cfRule>
  </conditionalFormatting>
  <conditionalFormatting sqref="H116 L116">
    <cfRule type="cellIs" dxfId="203" priority="1052" operator="lessThan">
      <formula>0</formula>
    </cfRule>
  </conditionalFormatting>
  <conditionalFormatting sqref="N116">
    <cfRule type="cellIs" dxfId="202" priority="1053" operator="lessThan">
      <formula>0</formula>
    </cfRule>
  </conditionalFormatting>
  <conditionalFormatting sqref="P116">
    <cfRule type="cellIs" dxfId="201" priority="1054" operator="lessThan">
      <formula>0</formula>
    </cfRule>
  </conditionalFormatting>
  <conditionalFormatting sqref="R116 AD116">
    <cfRule type="cellIs" dxfId="200" priority="1055" operator="lessThan">
      <formula>0</formula>
    </cfRule>
  </conditionalFormatting>
  <conditionalFormatting sqref="T116:V116 X116 Z116 AB116:AF116">
    <cfRule type="cellIs" dxfId="199" priority="1056" operator="lessThan">
      <formula>0</formula>
    </cfRule>
  </conditionalFormatting>
  <conditionalFormatting sqref="R56 AD56">
    <cfRule type="cellIs" dxfId="198" priority="1057" operator="lessThan">
      <formula>0</formula>
    </cfRule>
  </conditionalFormatting>
  <conditionalFormatting sqref="R56 AD56">
    <cfRule type="cellIs" dxfId="197" priority="1058" operator="lessThan">
      <formula>0</formula>
    </cfRule>
  </conditionalFormatting>
  <conditionalFormatting sqref="D93:E99">
    <cfRule type="cellIs" dxfId="196" priority="1" operator="lessThan">
      <formula>0</formula>
    </cfRule>
  </conditionalFormatting>
  <conditionalFormatting sqref="D19:E27">
    <cfRule type="cellIs" dxfId="195" priority="2" operator="lessThan">
      <formula>0</formula>
    </cfRule>
  </conditionalFormatting>
  <conditionalFormatting sqref="D25:E25">
    <cfRule type="cellIs" dxfId="194" priority="3" operator="lessThan">
      <formula>0</formula>
    </cfRule>
  </conditionalFormatting>
  <conditionalFormatting sqref="D43:E51">
    <cfRule type="cellIs" dxfId="193" priority="4" operator="lessThan">
      <formula>0</formula>
    </cfRule>
  </conditionalFormatting>
  <conditionalFormatting sqref="D40:E41">
    <cfRule type="cellIs" dxfId="192" priority="5" operator="lessThan">
      <formula>0</formula>
    </cfRule>
  </conditionalFormatting>
  <conditionalFormatting sqref="D52:E52">
    <cfRule type="cellIs" dxfId="191" priority="6" operator="lessThan">
      <formula>0</formula>
    </cfRule>
  </conditionalFormatting>
  <conditionalFormatting sqref="D70:E70">
    <cfRule type="cellIs" dxfId="190" priority="7" operator="lessThan">
      <formula>0</formula>
    </cfRule>
  </conditionalFormatting>
  <conditionalFormatting sqref="D30:E39">
    <cfRule type="cellIs" dxfId="189" priority="8" operator="lessThan">
      <formula>0</formula>
    </cfRule>
  </conditionalFormatting>
  <conditionalFormatting sqref="D20:E27 D46:E51 D53:E56 D60:E60 D64:E64 D66:E66 D71:E76 D78:E78 D80:E83 D85:E87 D89:E89 D92:E101 D103:E104 D108:E110 D112:E115 D117:E125 D129:E135 D143:E143">
    <cfRule type="cellIs" dxfId="188" priority="9" operator="lessThan">
      <formula>0</formula>
    </cfRule>
  </conditionalFormatting>
  <conditionalFormatting sqref="D53:E56 D60:E60 D64:E64">
    <cfRule type="cellIs" dxfId="187" priority="10" operator="lessThan">
      <formula>0</formula>
    </cfRule>
  </conditionalFormatting>
  <conditionalFormatting sqref="D49:E49">
    <cfRule type="cellIs" dxfId="186" priority="11" operator="lessThan">
      <formula>0</formula>
    </cfRule>
  </conditionalFormatting>
  <conditionalFormatting sqref="D142:E142">
    <cfRule type="cellIs" dxfId="185" priority="12" operator="lessThan">
      <formula>0</formula>
    </cfRule>
  </conditionalFormatting>
  <conditionalFormatting sqref="D28:E28">
    <cfRule type="cellIs" dxfId="184" priority="13" operator="lessThan">
      <formula>0</formula>
    </cfRule>
  </conditionalFormatting>
  <conditionalFormatting sqref="D29:E39">
    <cfRule type="cellIs" dxfId="183" priority="14" operator="lessThan">
      <formula>0</formula>
    </cfRule>
  </conditionalFormatting>
  <conditionalFormatting sqref="D18:E18 D20:E27 D42:E42 D54:E56 D60:E60 D64:E64 D66:E68 D89:E89 D92:E93 D97:E101 D104:E104 D108:E108 D110:E110 D129:E135 D143:E143">
    <cfRule type="cellIs" dxfId="182" priority="15" operator="lessThan">
      <formula>0</formula>
    </cfRule>
  </conditionalFormatting>
  <conditionalFormatting sqref="D54:E56 D60:E60 D64:E64">
    <cfRule type="cellIs" dxfId="181" priority="16" operator="lessThan">
      <formula>0</formula>
    </cfRule>
  </conditionalFormatting>
  <conditionalFormatting sqref="D19:E27">
    <cfRule type="cellIs" dxfId="180" priority="17" operator="lessThan">
      <formula>0</formula>
    </cfRule>
  </conditionalFormatting>
  <conditionalFormatting sqref="D130:D135">
    <cfRule type="cellIs" dxfId="179" priority="18" operator="lessThan">
      <formula>0</formula>
    </cfRule>
  </conditionalFormatting>
  <conditionalFormatting sqref="D134:E135">
    <cfRule type="cellIs" dxfId="178" priority="19" operator="lessThan">
      <formula>0</formula>
    </cfRule>
  </conditionalFormatting>
  <conditionalFormatting sqref="E65:E66">
    <cfRule type="cellIs" dxfId="177" priority="20" operator="lessThan">
      <formula>0</formula>
    </cfRule>
  </conditionalFormatting>
  <conditionalFormatting sqref="E65:E66">
    <cfRule type="cellIs" dxfId="176" priority="21" operator="lessThan">
      <formula>0</formula>
    </cfRule>
  </conditionalFormatting>
  <conditionalFormatting sqref="E71:E73 E75:E76 E78">
    <cfRule type="cellIs" dxfId="175" priority="22" operator="lessThan">
      <formula>0</formula>
    </cfRule>
  </conditionalFormatting>
  <conditionalFormatting sqref="E71:E73 E75:E76 E78">
    <cfRule type="cellIs" dxfId="174" priority="23" operator="lessThan">
      <formula>0</formula>
    </cfRule>
  </conditionalFormatting>
  <conditionalFormatting sqref="E81:E83">
    <cfRule type="cellIs" dxfId="173" priority="24" operator="lessThan">
      <formula>0</formula>
    </cfRule>
  </conditionalFormatting>
  <conditionalFormatting sqref="E81:E83">
    <cfRule type="cellIs" dxfId="172" priority="25" operator="lessThan">
      <formula>0</formula>
    </cfRule>
  </conditionalFormatting>
  <conditionalFormatting sqref="E89 E93 E95 E97:E99 E104">
    <cfRule type="cellIs" dxfId="171" priority="26" operator="lessThan">
      <formula>0</formula>
    </cfRule>
  </conditionalFormatting>
  <conditionalFormatting sqref="E89 E93 E95 E97:E99 E104">
    <cfRule type="cellIs" dxfId="170" priority="27" operator="lessThan">
      <formula>0</formula>
    </cfRule>
  </conditionalFormatting>
  <conditionalFormatting sqref="E108 E110 E115 E123:E124">
    <cfRule type="cellIs" dxfId="169" priority="28" operator="lessThan">
      <formula>0</formula>
    </cfRule>
  </conditionalFormatting>
  <conditionalFormatting sqref="E108 E110 E115 E123:E124">
    <cfRule type="cellIs" dxfId="168" priority="29" operator="lessThan">
      <formula>0</formula>
    </cfRule>
  </conditionalFormatting>
  <conditionalFormatting sqref="E112:E115 E117:E125">
    <cfRule type="cellIs" dxfId="167" priority="30" operator="lessThan">
      <formula>0</formula>
    </cfRule>
  </conditionalFormatting>
  <conditionalFormatting sqref="E112:E115 E117:E125">
    <cfRule type="cellIs" dxfId="166" priority="31" operator="lessThan">
      <formula>0</formula>
    </cfRule>
  </conditionalFormatting>
  <conditionalFormatting sqref="E142:E143">
    <cfRule type="cellIs" dxfId="165" priority="32" operator="lessThan">
      <formula>0</formula>
    </cfRule>
  </conditionalFormatting>
  <conditionalFormatting sqref="E142:E143">
    <cfRule type="cellIs" dxfId="164" priority="33" operator="lessThan">
      <formula>0</formula>
    </cfRule>
  </conditionalFormatting>
  <conditionalFormatting sqref="E142">
    <cfRule type="cellIs" dxfId="163" priority="34" operator="lessThan">
      <formula>0</formula>
    </cfRule>
  </conditionalFormatting>
  <conditionalFormatting sqref="E142">
    <cfRule type="cellIs" dxfId="162" priority="35" operator="lessThan">
      <formula>0</formula>
    </cfRule>
  </conditionalFormatting>
  <conditionalFormatting sqref="D25:E25">
    <cfRule type="cellIs" dxfId="161" priority="36" operator="lessThan">
      <formula>0</formula>
    </cfRule>
  </conditionalFormatting>
  <conditionalFormatting sqref="D28:E28">
    <cfRule type="cellIs" dxfId="160" priority="37" operator="lessThan">
      <formula>0</formula>
    </cfRule>
  </conditionalFormatting>
  <conditionalFormatting sqref="D40:E41">
    <cfRule type="cellIs" dxfId="159" priority="38" operator="lessThan">
      <formula>0</formula>
    </cfRule>
  </conditionalFormatting>
  <conditionalFormatting sqref="E52">
    <cfRule type="cellIs" dxfId="158" priority="39" operator="lessThan">
      <formula>0</formula>
    </cfRule>
  </conditionalFormatting>
  <conditionalFormatting sqref="D43:E46">
    <cfRule type="cellIs" dxfId="157" priority="40" operator="lessThan">
      <formula>0</formula>
    </cfRule>
  </conditionalFormatting>
  <conditionalFormatting sqref="D52:E52">
    <cfRule type="cellIs" dxfId="156" priority="41" operator="lessThan">
      <formula>0</formula>
    </cfRule>
  </conditionalFormatting>
  <conditionalFormatting sqref="D46:E51">
    <cfRule type="cellIs" dxfId="155" priority="42" operator="lessThan">
      <formula>0</formula>
    </cfRule>
  </conditionalFormatting>
  <conditionalFormatting sqref="D49:E49">
    <cfRule type="cellIs" dxfId="154" priority="43" operator="lessThan">
      <formula>0</formula>
    </cfRule>
  </conditionalFormatting>
  <conditionalFormatting sqref="D73:E77">
    <cfRule type="cellIs" dxfId="153" priority="44" operator="lessThan">
      <formula>0</formula>
    </cfRule>
  </conditionalFormatting>
  <conditionalFormatting sqref="D70:E70">
    <cfRule type="cellIs" dxfId="152" priority="45" operator="lessThan">
      <formula>0</formula>
    </cfRule>
  </conditionalFormatting>
  <conditionalFormatting sqref="D79:E79">
    <cfRule type="cellIs" dxfId="151" priority="46" operator="lessThan">
      <formula>0</formula>
    </cfRule>
  </conditionalFormatting>
  <conditionalFormatting sqref="D84:E84">
    <cfRule type="cellIs" dxfId="150" priority="47" operator="lessThan">
      <formula>0</formula>
    </cfRule>
  </conditionalFormatting>
  <conditionalFormatting sqref="D88:E88">
    <cfRule type="cellIs" dxfId="149" priority="48" operator="lessThan">
      <formula>0</formula>
    </cfRule>
  </conditionalFormatting>
  <conditionalFormatting sqref="D73:E78 D80:E83 D85:E87">
    <cfRule type="cellIs" dxfId="148" priority="49" operator="lessThan">
      <formula>0</formula>
    </cfRule>
  </conditionalFormatting>
  <conditionalFormatting sqref="E71:E78">
    <cfRule type="cellIs" dxfId="147" priority="50" operator="lessThan">
      <formula>0</formula>
    </cfRule>
  </conditionalFormatting>
  <conditionalFormatting sqref="E71:E78">
    <cfRule type="cellIs" dxfId="146" priority="51" operator="lessThan">
      <formula>0</formula>
    </cfRule>
  </conditionalFormatting>
  <conditionalFormatting sqref="E80:E83">
    <cfRule type="cellIs" dxfId="145" priority="52" operator="lessThan">
      <formula>0</formula>
    </cfRule>
  </conditionalFormatting>
  <conditionalFormatting sqref="E80:E83">
    <cfRule type="cellIs" dxfId="144" priority="53" operator="lessThan">
      <formula>0</formula>
    </cfRule>
  </conditionalFormatting>
  <conditionalFormatting sqref="E85:E87">
    <cfRule type="cellIs" dxfId="143" priority="54" operator="lessThan">
      <formula>0</formula>
    </cfRule>
  </conditionalFormatting>
  <conditionalFormatting sqref="E85:E87">
    <cfRule type="cellIs" dxfId="142" priority="55" operator="lessThan">
      <formula>0</formula>
    </cfRule>
  </conditionalFormatting>
  <conditionalFormatting sqref="E66:E68">
    <cfRule type="cellIs" dxfId="141" priority="56" operator="lessThan">
      <formula>0</formula>
    </cfRule>
  </conditionalFormatting>
  <conditionalFormatting sqref="E66:E68">
    <cfRule type="cellIs" dxfId="140" priority="57" operator="lessThan">
      <formula>0</formula>
    </cfRule>
  </conditionalFormatting>
  <conditionalFormatting sqref="E53:E56 E60 E64">
    <cfRule type="cellIs" dxfId="139" priority="58" operator="lessThan">
      <formula>0</formula>
    </cfRule>
  </conditionalFormatting>
  <conditionalFormatting sqref="E63">
    <cfRule type="cellIs" dxfId="138" priority="59" operator="lessThan">
      <formula>0</formula>
    </cfRule>
  </conditionalFormatting>
  <conditionalFormatting sqref="E55:E56 E60 E64">
    <cfRule type="cellIs" dxfId="137" priority="60" operator="lessThan">
      <formula>0</formula>
    </cfRule>
  </conditionalFormatting>
  <conditionalFormatting sqref="E70">
    <cfRule type="cellIs" dxfId="136" priority="61" operator="lessThan">
      <formula>0</formula>
    </cfRule>
  </conditionalFormatting>
  <conditionalFormatting sqref="D63:E63">
    <cfRule type="cellIs" dxfId="135" priority="62" operator="lessThan">
      <formula>0</formula>
    </cfRule>
  </conditionalFormatting>
  <conditionalFormatting sqref="D63:E63">
    <cfRule type="cellIs" dxfId="134" priority="63" operator="lessThan">
      <formula>0</formula>
    </cfRule>
  </conditionalFormatting>
  <conditionalFormatting sqref="E93 E95 E97:E99">
    <cfRule type="cellIs" dxfId="133" priority="64" operator="lessThan">
      <formula>0</formula>
    </cfRule>
  </conditionalFormatting>
  <conditionalFormatting sqref="E93 E95 E97:E99">
    <cfRule type="cellIs" dxfId="132" priority="65" operator="lessThan">
      <formula>0</formula>
    </cfRule>
  </conditionalFormatting>
  <conditionalFormatting sqref="E138">
    <cfRule type="cellIs" dxfId="131" priority="66" operator="lessThan">
      <formula>0</formula>
    </cfRule>
  </conditionalFormatting>
  <conditionalFormatting sqref="E89 E92:E93 E95 E97:E101 E104">
    <cfRule type="cellIs" dxfId="130" priority="67" operator="lessThan">
      <formula>0</formula>
    </cfRule>
  </conditionalFormatting>
  <conditionalFormatting sqref="E89 E92:E93 E95 E97:E101 E104">
    <cfRule type="cellIs" dxfId="129" priority="68" operator="lessThan">
      <formula>0</formula>
    </cfRule>
  </conditionalFormatting>
  <conditionalFormatting sqref="E108 E110 E115 E123:E124">
    <cfRule type="cellIs" dxfId="128" priority="69" operator="lessThan">
      <formula>0</formula>
    </cfRule>
  </conditionalFormatting>
  <conditionalFormatting sqref="E108 E110 E115 E123:E124">
    <cfRule type="cellIs" dxfId="127" priority="70" operator="lessThan">
      <formula>0</formula>
    </cfRule>
  </conditionalFormatting>
  <conditionalFormatting sqref="E129:E135 E143">
    <cfRule type="cellIs" dxfId="126" priority="71" operator="lessThan">
      <formula>0</formula>
    </cfRule>
  </conditionalFormatting>
  <conditionalFormatting sqref="E129:E135 E143">
    <cfRule type="cellIs" dxfId="125" priority="72" operator="lessThan">
      <formula>0</formula>
    </cfRule>
  </conditionalFormatting>
  <conditionalFormatting sqref="E141:E142 E144">
    <cfRule type="cellIs" dxfId="124" priority="73" operator="lessThan">
      <formula>0</formula>
    </cfRule>
  </conditionalFormatting>
  <conditionalFormatting sqref="E141:E142 E144">
    <cfRule type="cellIs" dxfId="123" priority="74" operator="lessThan">
      <formula>0</formula>
    </cfRule>
  </conditionalFormatting>
  <conditionalFormatting sqref="E146:E150">
    <cfRule type="cellIs" dxfId="122" priority="75" operator="lessThan">
      <formula>0</formula>
    </cfRule>
  </conditionalFormatting>
  <conditionalFormatting sqref="E146:E150">
    <cfRule type="cellIs" dxfId="121" priority="76" operator="lessThan">
      <formula>0</formula>
    </cfRule>
  </conditionalFormatting>
  <conditionalFormatting sqref="E136">
    <cfRule type="cellIs" dxfId="120" priority="77" operator="lessThan">
      <formula>0</formula>
    </cfRule>
  </conditionalFormatting>
  <conditionalFormatting sqref="E140 E145 E151">
    <cfRule type="cellIs" dxfId="119" priority="78" operator="lessThan">
      <formula>0</formula>
    </cfRule>
  </conditionalFormatting>
  <conditionalFormatting sqref="D107:E107">
    <cfRule type="cellIs" dxfId="118" priority="79" operator="lessThan">
      <formula>0</formula>
    </cfRule>
  </conditionalFormatting>
  <conditionalFormatting sqref="D111:E111">
    <cfRule type="cellIs" dxfId="117" priority="80" operator="lessThan">
      <formula>0</formula>
    </cfRule>
  </conditionalFormatting>
  <conditionalFormatting sqref="D126:E128">
    <cfRule type="cellIs" dxfId="116" priority="81" operator="lessThan">
      <formula>0</formula>
    </cfRule>
  </conditionalFormatting>
  <conditionalFormatting sqref="D112:E115 D117:E125 D130:E130">
    <cfRule type="cellIs" dxfId="115" priority="82" operator="lessThan">
      <formula>0</formula>
    </cfRule>
  </conditionalFormatting>
  <conditionalFormatting sqref="E112:E125">
    <cfRule type="cellIs" dxfId="114" priority="83" operator="lessThan">
      <formula>0</formula>
    </cfRule>
  </conditionalFormatting>
  <conditionalFormatting sqref="E112:E125">
    <cfRule type="cellIs" dxfId="113" priority="84" operator="lessThan">
      <formula>0</formula>
    </cfRule>
  </conditionalFormatting>
  <conditionalFormatting sqref="D146:E147">
    <cfRule type="cellIs" dxfId="112" priority="85" operator="lessThan">
      <formula>0</formula>
    </cfRule>
  </conditionalFormatting>
  <conditionalFormatting sqref="D136:E136">
    <cfRule type="cellIs" dxfId="111" priority="86" operator="lessThan">
      <formula>0</formula>
    </cfRule>
  </conditionalFormatting>
  <conditionalFormatting sqref="D138:E138">
    <cfRule type="cellIs" dxfId="110" priority="87" operator="lessThan">
      <formula>0</formula>
    </cfRule>
  </conditionalFormatting>
  <conditionalFormatting sqref="D137:E137 D139:E140 D145:E145 D149:E151">
    <cfRule type="cellIs" dxfId="109" priority="88" operator="lessThan">
      <formula>0</formula>
    </cfRule>
  </conditionalFormatting>
  <conditionalFormatting sqref="D148:E148">
    <cfRule type="cellIs" dxfId="108" priority="89" operator="lessThan">
      <formula>0</formula>
    </cfRule>
  </conditionalFormatting>
  <conditionalFormatting sqref="D142:E142 D144:E144">
    <cfRule type="cellIs" dxfId="107" priority="90" operator="lessThan">
      <formula>0</formula>
    </cfRule>
  </conditionalFormatting>
  <conditionalFormatting sqref="D141:E141">
    <cfRule type="cellIs" dxfId="106" priority="91" operator="lessThan">
      <formula>0</formula>
    </cfRule>
  </conditionalFormatting>
  <conditionalFormatting sqref="D62:E62">
    <cfRule type="cellIs" dxfId="105" priority="92" operator="lessThan">
      <formula>0</formula>
    </cfRule>
  </conditionalFormatting>
  <conditionalFormatting sqref="D62:E62">
    <cfRule type="cellIs" dxfId="104" priority="93" operator="lessThan">
      <formula>0</formula>
    </cfRule>
  </conditionalFormatting>
  <conditionalFormatting sqref="E62">
    <cfRule type="cellIs" dxfId="103" priority="94" operator="lessThan">
      <formula>0</formula>
    </cfRule>
  </conditionalFormatting>
  <conditionalFormatting sqref="E62">
    <cfRule type="cellIs" dxfId="102" priority="95" operator="lessThan">
      <formula>0</formula>
    </cfRule>
  </conditionalFormatting>
  <conditionalFormatting sqref="D58:E59">
    <cfRule type="cellIs" dxfId="101" priority="96" operator="lessThan">
      <formula>0</formula>
    </cfRule>
  </conditionalFormatting>
  <conditionalFormatting sqref="D58:E59">
    <cfRule type="cellIs" dxfId="100" priority="97" operator="lessThan">
      <formula>0</formula>
    </cfRule>
  </conditionalFormatting>
  <conditionalFormatting sqref="D58:E59">
    <cfRule type="cellIs" dxfId="99" priority="98" operator="lessThan">
      <formula>0</formula>
    </cfRule>
  </conditionalFormatting>
  <conditionalFormatting sqref="D58:E59">
    <cfRule type="cellIs" dxfId="98" priority="99" operator="lessThan">
      <formula>0</formula>
    </cfRule>
  </conditionalFormatting>
  <conditionalFormatting sqref="E58:E59">
    <cfRule type="cellIs" dxfId="97" priority="100" operator="lessThan">
      <formula>0</formula>
    </cfRule>
  </conditionalFormatting>
  <conditionalFormatting sqref="E58:E59">
    <cfRule type="cellIs" dxfId="96" priority="101" operator="lessThan">
      <formula>0</formula>
    </cfRule>
  </conditionalFormatting>
  <conditionalFormatting sqref="D57:E57">
    <cfRule type="cellIs" dxfId="95" priority="102" operator="lessThan">
      <formula>0</formula>
    </cfRule>
  </conditionalFormatting>
  <conditionalFormatting sqref="D57:E57">
    <cfRule type="cellIs" dxfId="94" priority="103" operator="lessThan">
      <formula>0</formula>
    </cfRule>
  </conditionalFormatting>
  <conditionalFormatting sqref="D57:E57">
    <cfRule type="cellIs" dxfId="93" priority="104" operator="lessThan">
      <formula>0</formula>
    </cfRule>
  </conditionalFormatting>
  <conditionalFormatting sqref="E57:E58">
    <cfRule type="cellIs" dxfId="92" priority="105" operator="lessThan">
      <formula>0</formula>
    </cfRule>
  </conditionalFormatting>
  <conditionalFormatting sqref="E57:E58">
    <cfRule type="cellIs" dxfId="91" priority="106" operator="lessThan">
      <formula>0</formula>
    </cfRule>
  </conditionalFormatting>
  <conditionalFormatting sqref="E57">
    <cfRule type="cellIs" dxfId="90" priority="107" operator="lessThan">
      <formula>0</formula>
    </cfRule>
  </conditionalFormatting>
  <conditionalFormatting sqref="E57">
    <cfRule type="cellIs" dxfId="89" priority="108" operator="lessThan">
      <formula>0</formula>
    </cfRule>
  </conditionalFormatting>
  <conditionalFormatting sqref="E57">
    <cfRule type="cellIs" dxfId="88" priority="109" operator="lessThan">
      <formula>0</formula>
    </cfRule>
  </conditionalFormatting>
  <conditionalFormatting sqref="E57">
    <cfRule type="cellIs" dxfId="87" priority="110" operator="lessThan">
      <formula>0</formula>
    </cfRule>
  </conditionalFormatting>
  <conditionalFormatting sqref="E65">
    <cfRule type="cellIs" dxfId="86" priority="111" operator="lessThan">
      <formula>0</formula>
    </cfRule>
  </conditionalFormatting>
  <conditionalFormatting sqref="E65">
    <cfRule type="cellIs" dxfId="85" priority="112" operator="lessThan">
      <formula>0</formula>
    </cfRule>
  </conditionalFormatting>
  <conditionalFormatting sqref="D65:E65">
    <cfRule type="cellIs" dxfId="84" priority="113" operator="lessThan">
      <formula>0</formula>
    </cfRule>
  </conditionalFormatting>
  <conditionalFormatting sqref="D65:E65">
    <cfRule type="cellIs" dxfId="83" priority="114" operator="lessThan">
      <formula>0</formula>
    </cfRule>
  </conditionalFormatting>
  <conditionalFormatting sqref="E65">
    <cfRule type="cellIs" dxfId="82" priority="115" operator="lessThan">
      <formula>0</formula>
    </cfRule>
  </conditionalFormatting>
  <conditionalFormatting sqref="E65">
    <cfRule type="cellIs" dxfId="81" priority="116" operator="lessThan">
      <formula>0</formula>
    </cfRule>
  </conditionalFormatting>
  <conditionalFormatting sqref="E65">
    <cfRule type="cellIs" dxfId="80" priority="117" operator="lessThan">
      <formula>0</formula>
    </cfRule>
  </conditionalFormatting>
  <conditionalFormatting sqref="E65">
    <cfRule type="cellIs" dxfId="79" priority="118" operator="lessThan">
      <formula>0</formula>
    </cfRule>
  </conditionalFormatting>
  <conditionalFormatting sqref="D91:E91">
    <cfRule type="cellIs" dxfId="78" priority="119" operator="lessThan">
      <formula>0</formula>
    </cfRule>
  </conditionalFormatting>
  <conditionalFormatting sqref="D91:E91">
    <cfRule type="cellIs" dxfId="77" priority="120" operator="lessThan">
      <formula>0</formula>
    </cfRule>
  </conditionalFormatting>
  <conditionalFormatting sqref="E91">
    <cfRule type="cellIs" dxfId="76" priority="121" operator="lessThan">
      <formula>0</formula>
    </cfRule>
  </conditionalFormatting>
  <conditionalFormatting sqref="E91">
    <cfRule type="cellIs" dxfId="75" priority="122" operator="lessThan">
      <formula>0</formula>
    </cfRule>
  </conditionalFormatting>
  <conditionalFormatting sqref="D94:E94">
    <cfRule type="cellIs" dxfId="74" priority="123" operator="lessThan">
      <formula>0</formula>
    </cfRule>
  </conditionalFormatting>
  <conditionalFormatting sqref="D94:E94">
    <cfRule type="cellIs" dxfId="73" priority="124" operator="lessThan">
      <formula>0</formula>
    </cfRule>
  </conditionalFormatting>
  <conditionalFormatting sqref="D94:E94">
    <cfRule type="cellIs" dxfId="72" priority="125" operator="lessThan">
      <formula>0</formula>
    </cfRule>
  </conditionalFormatting>
  <conditionalFormatting sqref="E94:E95">
    <cfRule type="cellIs" dxfId="71" priority="126" operator="lessThan">
      <formula>0</formula>
    </cfRule>
  </conditionalFormatting>
  <conditionalFormatting sqref="E94:E95">
    <cfRule type="cellIs" dxfId="70" priority="127" operator="lessThan">
      <formula>0</formula>
    </cfRule>
  </conditionalFormatting>
  <conditionalFormatting sqref="E94">
    <cfRule type="cellIs" dxfId="69" priority="128" operator="lessThan">
      <formula>0</formula>
    </cfRule>
  </conditionalFormatting>
  <conditionalFormatting sqref="E94">
    <cfRule type="cellIs" dxfId="68" priority="129" operator="lessThan">
      <formula>0</formula>
    </cfRule>
  </conditionalFormatting>
  <conditionalFormatting sqref="E94">
    <cfRule type="cellIs" dxfId="67" priority="130" operator="lessThan">
      <formula>0</formula>
    </cfRule>
  </conditionalFormatting>
  <conditionalFormatting sqref="E94">
    <cfRule type="cellIs" dxfId="66" priority="131" operator="lessThan">
      <formula>0</formula>
    </cfRule>
  </conditionalFormatting>
  <conditionalFormatting sqref="D90:E90">
    <cfRule type="cellIs" dxfId="65" priority="132" operator="lessThan">
      <formula>0</formula>
    </cfRule>
  </conditionalFormatting>
  <conditionalFormatting sqref="D90:E90">
    <cfRule type="cellIs" dxfId="64" priority="133" operator="lessThan">
      <formula>0</formula>
    </cfRule>
  </conditionalFormatting>
  <conditionalFormatting sqref="E90 E102">
    <cfRule type="cellIs" dxfId="63" priority="134" operator="lessThan">
      <formula>0</formula>
    </cfRule>
  </conditionalFormatting>
  <conditionalFormatting sqref="E90 E102">
    <cfRule type="cellIs" dxfId="62" priority="135" operator="lessThan">
      <formula>0</formula>
    </cfRule>
  </conditionalFormatting>
  <conditionalFormatting sqref="D96:E96">
    <cfRule type="cellIs" dxfId="61" priority="136" operator="lessThan">
      <formula>0</formula>
    </cfRule>
  </conditionalFormatting>
  <conditionalFormatting sqref="D96:E96">
    <cfRule type="cellIs" dxfId="60" priority="137" operator="lessThan">
      <formula>0</formula>
    </cfRule>
  </conditionalFormatting>
  <conditionalFormatting sqref="D96:E96">
    <cfRule type="cellIs" dxfId="59" priority="138" operator="lessThan">
      <formula>0</formula>
    </cfRule>
  </conditionalFormatting>
  <conditionalFormatting sqref="E96">
    <cfRule type="cellIs" dxfId="58" priority="139" operator="lessThan">
      <formula>0</formula>
    </cfRule>
  </conditionalFormatting>
  <conditionalFormatting sqref="E96">
    <cfRule type="cellIs" dxfId="57" priority="140" operator="lessThan">
      <formula>0</formula>
    </cfRule>
  </conditionalFormatting>
  <conditionalFormatting sqref="E96">
    <cfRule type="cellIs" dxfId="56" priority="141" operator="lessThan">
      <formula>0</formula>
    </cfRule>
  </conditionalFormatting>
  <conditionalFormatting sqref="E96">
    <cfRule type="cellIs" dxfId="55" priority="142" operator="lessThan">
      <formula>0</formula>
    </cfRule>
  </conditionalFormatting>
  <conditionalFormatting sqref="E96">
    <cfRule type="cellIs" dxfId="54" priority="143" operator="lessThan">
      <formula>0</formula>
    </cfRule>
  </conditionalFormatting>
  <conditionalFormatting sqref="E96">
    <cfRule type="cellIs" dxfId="53" priority="144" operator="lessThan">
      <formula>0</formula>
    </cfRule>
  </conditionalFormatting>
  <conditionalFormatting sqref="D106:E106">
    <cfRule type="cellIs" dxfId="52" priority="145" operator="lessThan">
      <formula>0</formula>
    </cfRule>
  </conditionalFormatting>
  <conditionalFormatting sqref="D106:E106">
    <cfRule type="cellIs" dxfId="51" priority="146" operator="lessThan">
      <formula>0</formula>
    </cfRule>
  </conditionalFormatting>
  <conditionalFormatting sqref="E106">
    <cfRule type="cellIs" dxfId="50" priority="147" operator="lessThan">
      <formula>0</formula>
    </cfRule>
  </conditionalFormatting>
  <conditionalFormatting sqref="E106">
    <cfRule type="cellIs" dxfId="49" priority="148" operator="lessThan">
      <formula>0</formula>
    </cfRule>
  </conditionalFormatting>
  <conditionalFormatting sqref="D105:E105">
    <cfRule type="cellIs" dxfId="48" priority="149" operator="lessThan">
      <formula>0</formula>
    </cfRule>
  </conditionalFormatting>
  <conditionalFormatting sqref="D105:E105">
    <cfRule type="cellIs" dxfId="47" priority="150" operator="lessThan">
      <formula>0</formula>
    </cfRule>
  </conditionalFormatting>
  <conditionalFormatting sqref="E105 E110 E115 E123:E124">
    <cfRule type="cellIs" dxfId="46" priority="151" operator="lessThan">
      <formula>0</formula>
    </cfRule>
  </conditionalFormatting>
  <conditionalFormatting sqref="E105 E110 E115 E123:E124">
    <cfRule type="cellIs" dxfId="45" priority="152" operator="lessThan">
      <formula>0</formula>
    </cfRule>
  </conditionalFormatting>
  <conditionalFormatting sqref="D109:E109">
    <cfRule type="cellIs" dxfId="44" priority="153" operator="lessThan">
      <formula>0</formula>
    </cfRule>
  </conditionalFormatting>
  <conditionalFormatting sqref="D109:E109">
    <cfRule type="cellIs" dxfId="43" priority="154" operator="lessThan">
      <formula>0</formula>
    </cfRule>
  </conditionalFormatting>
  <conditionalFormatting sqref="E109">
    <cfRule type="cellIs" dxfId="42" priority="155" operator="lessThan">
      <formula>0</formula>
    </cfRule>
  </conditionalFormatting>
  <conditionalFormatting sqref="E109">
    <cfRule type="cellIs" dxfId="41" priority="156" operator="lessThan">
      <formula>0</formula>
    </cfRule>
  </conditionalFormatting>
  <conditionalFormatting sqref="E109">
    <cfRule type="cellIs" dxfId="40" priority="157" operator="lessThan">
      <formula>0</formula>
    </cfRule>
  </conditionalFormatting>
  <conditionalFormatting sqref="E109">
    <cfRule type="cellIs" dxfId="39" priority="158" operator="lessThan">
      <formula>0</formula>
    </cfRule>
  </conditionalFormatting>
  <conditionalFormatting sqref="D131:E131">
    <cfRule type="cellIs" dxfId="38" priority="159" operator="lessThan">
      <formula>0</formula>
    </cfRule>
  </conditionalFormatting>
  <conditionalFormatting sqref="D103:E104 D108:E110 D112:E115 D117:E118 D123:E124 D130:E130">
    <cfRule type="cellIs" dxfId="37" priority="160" operator="lessThan">
      <formula>0</formula>
    </cfRule>
  </conditionalFormatting>
  <conditionalFormatting sqref="D103:E103">
    <cfRule type="cellIs" dxfId="36" priority="161" operator="lessThan">
      <formula>0</formula>
    </cfRule>
  </conditionalFormatting>
  <conditionalFormatting sqref="E103">
    <cfRule type="cellIs" dxfId="35" priority="162" operator="lessThan">
      <formula>0</formula>
    </cfRule>
  </conditionalFormatting>
  <conditionalFormatting sqref="E103">
    <cfRule type="cellIs" dxfId="34" priority="163" operator="lessThan">
      <formula>0</formula>
    </cfRule>
  </conditionalFormatting>
  <conditionalFormatting sqref="E103">
    <cfRule type="cellIs" dxfId="33" priority="164" operator="lessThan">
      <formula>0</formula>
    </cfRule>
  </conditionalFormatting>
  <conditionalFormatting sqref="E103">
    <cfRule type="cellIs" dxfId="32" priority="165" operator="lessThan">
      <formula>0</formula>
    </cfRule>
  </conditionalFormatting>
  <conditionalFormatting sqref="D102:E102">
    <cfRule type="cellIs" dxfId="31" priority="166" operator="lessThan">
      <formula>0</formula>
    </cfRule>
  </conditionalFormatting>
  <conditionalFormatting sqref="E102">
    <cfRule type="cellIs" dxfId="30" priority="167" operator="lessThan">
      <formula>0</formula>
    </cfRule>
  </conditionalFormatting>
  <conditionalFormatting sqref="E102">
    <cfRule type="cellIs" dxfId="29" priority="168" operator="lessThan">
      <formula>0</formula>
    </cfRule>
  </conditionalFormatting>
  <conditionalFormatting sqref="D61:E61">
    <cfRule type="cellIs" dxfId="28" priority="169" operator="lessThan">
      <formula>0</formula>
    </cfRule>
  </conditionalFormatting>
  <conditionalFormatting sqref="D61:E61">
    <cfRule type="cellIs" dxfId="27" priority="170" operator="lessThan">
      <formula>0</formula>
    </cfRule>
  </conditionalFormatting>
  <conditionalFormatting sqref="E61">
    <cfRule type="cellIs" dxfId="26" priority="171" operator="lessThan">
      <formula>0</formula>
    </cfRule>
  </conditionalFormatting>
  <conditionalFormatting sqref="E61">
    <cfRule type="cellIs" dxfId="25" priority="172" operator="lessThan">
      <formula>0</formula>
    </cfRule>
  </conditionalFormatting>
  <conditionalFormatting sqref="D69:E69">
    <cfRule type="cellIs" dxfId="24" priority="173" operator="lessThan">
      <formula>0</formula>
    </cfRule>
  </conditionalFormatting>
  <conditionalFormatting sqref="D69:E69">
    <cfRule type="cellIs" dxfId="23" priority="174" operator="lessThan">
      <formula>0</formula>
    </cfRule>
  </conditionalFormatting>
  <conditionalFormatting sqref="E69">
    <cfRule type="cellIs" dxfId="22" priority="175" operator="lessThan">
      <formula>0</formula>
    </cfRule>
  </conditionalFormatting>
  <conditionalFormatting sqref="E69">
    <cfRule type="cellIs" dxfId="21" priority="176" operator="lessThan">
      <formula>0</formula>
    </cfRule>
  </conditionalFormatting>
  <conditionalFormatting sqref="D71:E73 D75:E75">
    <cfRule type="cellIs" dxfId="20" priority="177" operator="lessThan">
      <formula>0</formula>
    </cfRule>
  </conditionalFormatting>
  <conditionalFormatting sqref="D71:E73 D75:E75">
    <cfRule type="cellIs" dxfId="19" priority="178" operator="lessThan">
      <formula>0</formula>
    </cfRule>
  </conditionalFormatting>
  <conditionalFormatting sqref="E30:E39">
    <cfRule type="cellIs" dxfId="18" priority="179" operator="lessThan">
      <formula>0</formula>
    </cfRule>
  </conditionalFormatting>
  <conditionalFormatting sqref="E19:E27 E43:E51">
    <cfRule type="cellIs" dxfId="17" priority="180" operator="lessThan">
      <formula>0</formula>
    </cfRule>
  </conditionalFormatting>
  <conditionalFormatting sqref="E49:E51">
    <cfRule type="cellIs" dxfId="16" priority="181" operator="lessThan">
      <formula>0</formula>
    </cfRule>
  </conditionalFormatting>
  <conditionalFormatting sqref="E40:E41">
    <cfRule type="cellIs" dxfId="15" priority="182" operator="lessThan">
      <formula>0</formula>
    </cfRule>
  </conditionalFormatting>
  <conditionalFormatting sqref="E52">
    <cfRule type="cellIs" dxfId="14" priority="183" operator="lessThan">
      <formula>0</formula>
    </cfRule>
  </conditionalFormatting>
  <conditionalFormatting sqref="E25">
    <cfRule type="cellIs" dxfId="13" priority="184" operator="lessThan">
      <formula>0</formula>
    </cfRule>
  </conditionalFormatting>
  <conditionalFormatting sqref="E30:E39">
    <cfRule type="cellIs" dxfId="12" priority="185" operator="lessThan">
      <formula>0</formula>
    </cfRule>
  </conditionalFormatting>
  <conditionalFormatting sqref="E19:E27 E43:E51">
    <cfRule type="cellIs" dxfId="11" priority="186" operator="lessThan">
      <formula>0</formula>
    </cfRule>
  </conditionalFormatting>
  <conditionalFormatting sqref="E49">
    <cfRule type="cellIs" dxfId="10" priority="187" operator="lessThan">
      <formula>0</formula>
    </cfRule>
  </conditionalFormatting>
  <conditionalFormatting sqref="E28">
    <cfRule type="cellIs" dxfId="9" priority="188" operator="lessThan">
      <formula>0</formula>
    </cfRule>
  </conditionalFormatting>
  <conditionalFormatting sqref="E40:E41">
    <cfRule type="cellIs" dxfId="8" priority="189" operator="lessThan">
      <formula>0</formula>
    </cfRule>
  </conditionalFormatting>
  <conditionalFormatting sqref="E19:E27">
    <cfRule type="cellIs" dxfId="7" priority="190" operator="lessThan">
      <formula>0</formula>
    </cfRule>
  </conditionalFormatting>
  <conditionalFormatting sqref="E19:E22">
    <cfRule type="cellIs" dxfId="6" priority="191" operator="lessThan">
      <formula>0</formula>
    </cfRule>
  </conditionalFormatting>
  <conditionalFormatting sqref="E19:E27">
    <cfRule type="cellIs" dxfId="5" priority="192" operator="lessThan">
      <formula>0</formula>
    </cfRule>
  </conditionalFormatting>
  <conditionalFormatting sqref="D53:E53">
    <cfRule type="cellIs" dxfId="4" priority="193" operator="lessThan">
      <formula>0</formula>
    </cfRule>
  </conditionalFormatting>
  <conditionalFormatting sqref="D53:E53">
    <cfRule type="cellIs" dxfId="3" priority="194" operator="lessThan">
      <formula>0</formula>
    </cfRule>
  </conditionalFormatting>
  <conditionalFormatting sqref="D95:E95">
    <cfRule type="cellIs" dxfId="2" priority="195" operator="lessThan">
      <formula>0</formula>
    </cfRule>
  </conditionalFormatting>
  <conditionalFormatting sqref="D95:E95">
    <cfRule type="cellIs" dxfId="1" priority="196" operator="lessThan">
      <formula>0</formula>
    </cfRule>
  </conditionalFormatting>
  <conditionalFormatting sqref="D116:E116">
    <cfRule type="cellIs" dxfId="0" priority="197" operator="lessThan">
      <formula>0</formula>
    </cfRule>
  </conditionalFormatting>
  <hyperlinks>
    <hyperlink ref="A155" location="null!A1" display="Back To Index"/>
  </hyperlink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tabSelected="1" workbookViewId="0"/>
  </sheetViews>
  <sheetFormatPr defaultColWidth="0" defaultRowHeight="15" customHeight="1" zeroHeight="1"/>
  <cols>
    <col min="1" max="1" width="150.6640625" style="1" customWidth="1"/>
    <col min="2" max="16384" width="9.109375" style="1" hidden="1"/>
  </cols>
  <sheetData>
    <row r="1" spans="1:1" ht="363.75" customHeight="1">
      <c r="A1" s="2" t="s">
        <v>0</v>
      </c>
    </row>
  </sheetData>
  <sheetProtection algorithmName="SHA-512" hashValue="Zqj2hmL6rAeqEjSMujYAvu4TXWgWOb8DeQSCGX4WqaBdVhs7yykXPxHMzc9tKrAulX574lYtuRYt/43A2nx49g==" saltValue="h3AnHjreeafPU5aaxEGvmA==" spinCount="100000" sheet="1" objects="1" scenarios="1"/>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71"/>
  <sheetViews>
    <sheetView workbookViewId="0"/>
  </sheetViews>
  <sheetFormatPr defaultColWidth="8.88671875" defaultRowHeight="14.4" outlineLevelCol="1"/>
  <cols>
    <col min="1" max="1" width="32.33203125" style="3" bestFit="1" customWidth="1"/>
    <col min="2" max="2" width="44.33203125" style="3" customWidth="1" outlineLevel="1"/>
    <col min="3" max="3" width="30.6640625" style="3" customWidth="1"/>
    <col min="4" max="4" width="119.33203125" style="130" bestFit="1" customWidth="1"/>
    <col min="5" max="16384" width="8.88671875" style="3"/>
  </cols>
  <sheetData>
    <row r="1" spans="1:3" ht="15" thickBot="1"/>
    <row r="2" spans="1:3">
      <c r="A2" s="339" t="s">
        <v>245</v>
      </c>
      <c r="B2" s="339"/>
      <c r="C2" s="340"/>
    </row>
    <row r="3" spans="1:3">
      <c r="A3" s="341" t="s">
        <v>466</v>
      </c>
      <c r="B3" s="341"/>
      <c r="C3" s="342"/>
    </row>
    <row r="4" spans="1:3">
      <c r="A4" s="343" t="s">
        <v>467</v>
      </c>
      <c r="B4" s="343"/>
      <c r="C4" s="344"/>
    </row>
    <row r="5" spans="1:3">
      <c r="A5" s="345" t="s">
        <v>468</v>
      </c>
      <c r="B5" s="345"/>
      <c r="C5" s="346"/>
    </row>
    <row r="6" spans="1:3">
      <c r="A6" s="170"/>
      <c r="B6" s="170"/>
      <c r="C6" s="171"/>
    </row>
    <row r="7" spans="1:3">
      <c r="A7" s="172" t="s">
        <v>105</v>
      </c>
      <c r="B7" s="172"/>
      <c r="C7" s="173"/>
    </row>
    <row r="8" spans="1:3">
      <c r="A8" s="170"/>
      <c r="B8" s="170"/>
      <c r="C8" s="171"/>
    </row>
    <row r="9" spans="1:3">
      <c r="A9" s="170"/>
      <c r="B9" s="170" t="s">
        <v>49</v>
      </c>
      <c r="C9" s="171" t="s">
        <v>108</v>
      </c>
    </row>
    <row r="10" spans="1:3">
      <c r="A10" s="170"/>
      <c r="B10" s="170" t="s">
        <v>246</v>
      </c>
      <c r="C10" s="171" t="s">
        <v>307</v>
      </c>
    </row>
    <row r="11" spans="1:3">
      <c r="A11" s="170"/>
      <c r="B11" s="170" t="s">
        <v>247</v>
      </c>
      <c r="C11" s="171" t="s">
        <v>308</v>
      </c>
    </row>
    <row r="12" spans="1:3">
      <c r="A12" s="170"/>
      <c r="B12" s="170" t="s">
        <v>50</v>
      </c>
      <c r="C12" s="171" t="s">
        <v>109</v>
      </c>
    </row>
    <row r="13" spans="1:3">
      <c r="A13" s="170"/>
      <c r="B13" s="170" t="s">
        <v>51</v>
      </c>
      <c r="C13" s="171" t="s">
        <v>110</v>
      </c>
    </row>
    <row r="14" spans="1:3">
      <c r="A14" s="170"/>
      <c r="B14" s="170" t="s">
        <v>248</v>
      </c>
      <c r="C14" s="171" t="s">
        <v>309</v>
      </c>
    </row>
    <row r="15" spans="1:3">
      <c r="A15" s="170"/>
      <c r="B15" s="170" t="s">
        <v>469</v>
      </c>
      <c r="C15" s="171" t="s">
        <v>111</v>
      </c>
    </row>
    <row r="16" spans="1:3">
      <c r="A16" s="170"/>
      <c r="B16" s="170" t="s">
        <v>434</v>
      </c>
      <c r="C16" s="171" t="s">
        <v>435</v>
      </c>
    </row>
    <row r="17" spans="1:3">
      <c r="A17" s="170"/>
      <c r="B17" s="170" t="s">
        <v>249</v>
      </c>
      <c r="C17" s="171" t="s">
        <v>310</v>
      </c>
    </row>
    <row r="18" spans="1:3">
      <c r="A18" s="170"/>
      <c r="B18" s="170" t="s">
        <v>250</v>
      </c>
      <c r="C18" s="171" t="s">
        <v>311</v>
      </c>
    </row>
    <row r="19" spans="1:3">
      <c r="A19" s="170"/>
      <c r="B19" s="170" t="s">
        <v>251</v>
      </c>
      <c r="C19" s="171" t="s">
        <v>312</v>
      </c>
    </row>
    <row r="20" spans="1:3">
      <c r="A20" s="174" t="s">
        <v>112</v>
      </c>
      <c r="B20" s="174"/>
      <c r="C20" s="175"/>
    </row>
    <row r="21" spans="1:3">
      <c r="A21" s="170"/>
      <c r="B21" s="170"/>
      <c r="C21" s="171"/>
    </row>
    <row r="22" spans="1:3">
      <c r="A22" s="170"/>
      <c r="B22" s="170" t="s">
        <v>52</v>
      </c>
      <c r="C22" s="171" t="s">
        <v>1</v>
      </c>
    </row>
    <row r="23" spans="1:3">
      <c r="A23" s="170"/>
      <c r="B23" s="170" t="s">
        <v>252</v>
      </c>
      <c r="C23" s="171" t="s">
        <v>313</v>
      </c>
    </row>
    <row r="24" spans="1:3">
      <c r="A24" s="170"/>
      <c r="B24" s="170" t="s">
        <v>53</v>
      </c>
      <c r="C24" s="171" t="s">
        <v>314</v>
      </c>
    </row>
    <row r="25" spans="1:3">
      <c r="A25" s="170"/>
      <c r="B25" s="170" t="s">
        <v>54</v>
      </c>
      <c r="C25" s="171" t="s">
        <v>115</v>
      </c>
    </row>
    <row r="26" spans="1:3">
      <c r="A26" s="170"/>
      <c r="B26" s="170" t="s">
        <v>55</v>
      </c>
      <c r="C26" s="171" t="s">
        <v>116</v>
      </c>
    </row>
    <row r="27" spans="1:3">
      <c r="A27" s="170"/>
      <c r="B27" s="170" t="s">
        <v>253</v>
      </c>
      <c r="C27" s="171" t="s">
        <v>315</v>
      </c>
    </row>
    <row r="28" spans="1:3">
      <c r="A28" s="170"/>
      <c r="B28" s="170" t="s">
        <v>254</v>
      </c>
      <c r="C28" s="171" t="s">
        <v>316</v>
      </c>
    </row>
    <row r="29" spans="1:3">
      <c r="A29" s="170"/>
      <c r="B29" s="170" t="s">
        <v>470</v>
      </c>
      <c r="C29" s="171" t="s">
        <v>117</v>
      </c>
    </row>
    <row r="30" spans="1:3">
      <c r="A30" s="172" t="s">
        <v>118</v>
      </c>
      <c r="B30" s="172"/>
      <c r="C30" s="173"/>
    </row>
    <row r="31" spans="1:3">
      <c r="A31" s="170"/>
      <c r="B31" s="170"/>
      <c r="C31" s="171"/>
    </row>
    <row r="32" spans="1:3">
      <c r="A32" s="170"/>
      <c r="B32" s="170" t="s">
        <v>471</v>
      </c>
      <c r="C32" s="171" t="s">
        <v>120</v>
      </c>
    </row>
    <row r="33" spans="1:3">
      <c r="A33" s="170"/>
      <c r="B33" s="170" t="s">
        <v>472</v>
      </c>
      <c r="C33" s="171" t="s">
        <v>317</v>
      </c>
    </row>
    <row r="34" spans="1:3">
      <c r="A34" s="170"/>
      <c r="B34" s="170" t="s">
        <v>473</v>
      </c>
      <c r="C34" s="171" t="s">
        <v>121</v>
      </c>
    </row>
    <row r="35" spans="1:3">
      <c r="A35" s="170"/>
      <c r="B35" s="170" t="s">
        <v>474</v>
      </c>
      <c r="C35" s="171" t="s">
        <v>122</v>
      </c>
    </row>
    <row r="36" spans="1:3">
      <c r="A36" s="170"/>
      <c r="B36" s="170" t="s">
        <v>475</v>
      </c>
      <c r="C36" s="171" t="s">
        <v>123</v>
      </c>
    </row>
    <row r="37" spans="1:3">
      <c r="A37" s="170"/>
      <c r="B37" s="170" t="s">
        <v>476</v>
      </c>
      <c r="C37" s="171" t="s">
        <v>318</v>
      </c>
    </row>
    <row r="38" spans="1:3">
      <c r="A38" s="170"/>
      <c r="B38" s="170" t="s">
        <v>477</v>
      </c>
      <c r="C38" s="171" t="s">
        <v>319</v>
      </c>
    </row>
    <row r="39" spans="1:3">
      <c r="A39" s="170"/>
      <c r="B39" s="170" t="s">
        <v>434</v>
      </c>
      <c r="C39" s="171" t="s">
        <v>436</v>
      </c>
    </row>
    <row r="40" spans="1:3">
      <c r="A40" s="170"/>
      <c r="B40" s="170" t="s">
        <v>250</v>
      </c>
      <c r="C40" s="171" t="s">
        <v>320</v>
      </c>
    </row>
    <row r="41" spans="1:3">
      <c r="A41" s="170"/>
      <c r="B41" s="170" t="s">
        <v>251</v>
      </c>
      <c r="C41" s="171" t="s">
        <v>321</v>
      </c>
    </row>
    <row r="42" spans="1:3">
      <c r="A42" s="170"/>
      <c r="B42" s="170" t="s">
        <v>478</v>
      </c>
      <c r="C42" s="171" t="s">
        <v>124</v>
      </c>
    </row>
    <row r="43" spans="1:3">
      <c r="A43" s="174" t="s">
        <v>125</v>
      </c>
      <c r="B43" s="174"/>
      <c r="C43" s="175"/>
    </row>
    <row r="44" spans="1:3">
      <c r="A44" s="176" t="s">
        <v>479</v>
      </c>
      <c r="B44" s="170"/>
      <c r="C44" s="171"/>
    </row>
    <row r="45" spans="1:3">
      <c r="A45" s="170"/>
      <c r="B45" s="170" t="s">
        <v>57</v>
      </c>
      <c r="C45" s="171" t="s">
        <v>322</v>
      </c>
    </row>
    <row r="46" spans="1:3">
      <c r="A46" s="170"/>
      <c r="B46" s="170" t="s">
        <v>255</v>
      </c>
      <c r="C46" s="171" t="s">
        <v>323</v>
      </c>
    </row>
    <row r="47" spans="1:3">
      <c r="A47" s="170"/>
      <c r="B47" s="170" t="s">
        <v>256</v>
      </c>
      <c r="C47" s="171" t="s">
        <v>324</v>
      </c>
    </row>
    <row r="48" spans="1:3">
      <c r="A48" s="170"/>
      <c r="B48" s="170" t="s">
        <v>257</v>
      </c>
      <c r="C48" s="171" t="s">
        <v>325</v>
      </c>
    </row>
    <row r="49" spans="1:4">
      <c r="A49" s="170"/>
      <c r="B49" s="170" t="s">
        <v>258</v>
      </c>
      <c r="C49" s="171" t="s">
        <v>326</v>
      </c>
    </row>
    <row r="50" spans="1:4">
      <c r="A50" s="170"/>
      <c r="B50" s="170" t="s">
        <v>259</v>
      </c>
      <c r="C50" s="171" t="s">
        <v>327</v>
      </c>
    </row>
    <row r="51" spans="1:4">
      <c r="A51" s="170"/>
      <c r="B51" s="170" t="s">
        <v>260</v>
      </c>
      <c r="C51" s="171" t="s">
        <v>328</v>
      </c>
    </row>
    <row r="52" spans="1:4">
      <c r="A52" s="170"/>
      <c r="B52" s="170" t="s">
        <v>261</v>
      </c>
      <c r="C52" s="171" t="s">
        <v>329</v>
      </c>
    </row>
    <row r="53" spans="1:4">
      <c r="A53" s="170"/>
      <c r="B53" s="170" t="s">
        <v>443</v>
      </c>
      <c r="C53" s="171" t="s">
        <v>437</v>
      </c>
    </row>
    <row r="54" spans="1:4">
      <c r="A54" s="170"/>
      <c r="B54" s="170" t="s">
        <v>444</v>
      </c>
      <c r="C54" s="171" t="s">
        <v>330</v>
      </c>
    </row>
    <row r="55" spans="1:4">
      <c r="A55" s="170"/>
      <c r="B55" s="170" t="s">
        <v>263</v>
      </c>
      <c r="C55" s="171" t="s">
        <v>331</v>
      </c>
    </row>
    <row r="56" spans="1:4">
      <c r="A56" s="170"/>
      <c r="B56" s="170" t="s">
        <v>450</v>
      </c>
      <c r="C56" s="171" t="s">
        <v>451</v>
      </c>
    </row>
    <row r="57" spans="1:4">
      <c r="A57" s="176" t="s">
        <v>480</v>
      </c>
      <c r="B57" s="170"/>
      <c r="C57" s="171"/>
    </row>
    <row r="58" spans="1:4">
      <c r="A58" s="170"/>
      <c r="B58" s="170" t="s">
        <v>278</v>
      </c>
      <c r="C58" s="171" t="s">
        <v>348</v>
      </c>
    </row>
    <row r="59" spans="1:4">
      <c r="A59" s="172" t="s">
        <v>129</v>
      </c>
      <c r="B59" s="172"/>
      <c r="C59" s="173"/>
      <c r="D59" s="130" t="s">
        <v>481</v>
      </c>
    </row>
    <row r="60" spans="1:4">
      <c r="A60" s="176" t="s">
        <v>482</v>
      </c>
      <c r="B60" s="170"/>
      <c r="C60" s="171"/>
    </row>
    <row r="61" spans="1:4">
      <c r="A61" s="170"/>
      <c r="B61" s="170" t="s">
        <v>58</v>
      </c>
      <c r="C61" s="171" t="s">
        <v>127</v>
      </c>
    </row>
    <row r="62" spans="1:4">
      <c r="A62" s="170"/>
      <c r="B62" s="170" t="s">
        <v>59</v>
      </c>
      <c r="C62" s="171" t="s">
        <v>131</v>
      </c>
    </row>
    <row r="63" spans="1:4">
      <c r="A63" s="170"/>
      <c r="B63" s="170" t="s">
        <v>264</v>
      </c>
      <c r="C63" s="171" t="s">
        <v>332</v>
      </c>
    </row>
    <row r="64" spans="1:4">
      <c r="A64" s="170"/>
      <c r="B64" s="170" t="s">
        <v>60</v>
      </c>
      <c r="C64" s="171" t="s">
        <v>132</v>
      </c>
    </row>
    <row r="65" spans="1:4">
      <c r="A65" s="170"/>
      <c r="B65" s="170" t="s">
        <v>61</v>
      </c>
      <c r="C65" s="171" t="s">
        <v>133</v>
      </c>
    </row>
    <row r="66" spans="1:4">
      <c r="A66" s="170"/>
      <c r="B66" s="170" t="s">
        <v>68</v>
      </c>
      <c r="C66" s="171" t="s">
        <v>128</v>
      </c>
    </row>
    <row r="67" spans="1:4">
      <c r="A67" s="170"/>
      <c r="B67" s="170" t="s">
        <v>265</v>
      </c>
      <c r="C67" s="171" t="s">
        <v>333</v>
      </c>
    </row>
    <row r="68" spans="1:4">
      <c r="A68" s="172" t="s">
        <v>483</v>
      </c>
      <c r="B68" s="172"/>
      <c r="C68" s="173"/>
      <c r="D68" s="130" t="s">
        <v>484</v>
      </c>
    </row>
    <row r="69" spans="1:4">
      <c r="A69" s="174" t="s">
        <v>485</v>
      </c>
      <c r="B69" s="174"/>
      <c r="C69" s="175"/>
      <c r="D69" s="130" t="s">
        <v>486</v>
      </c>
    </row>
    <row r="70" spans="1:4">
      <c r="A70" s="176" t="s">
        <v>487</v>
      </c>
      <c r="B70" s="170"/>
      <c r="C70" s="171"/>
    </row>
    <row r="71" spans="1:4">
      <c r="A71" s="170"/>
      <c r="B71" s="170" t="s">
        <v>56</v>
      </c>
      <c r="C71" s="171" t="s">
        <v>167</v>
      </c>
    </row>
    <row r="72" spans="1:4">
      <c r="A72" s="170"/>
      <c r="B72" s="170" t="s">
        <v>269</v>
      </c>
      <c r="C72" s="171" t="s">
        <v>336</v>
      </c>
    </row>
    <row r="73" spans="1:4">
      <c r="A73" s="170"/>
      <c r="B73" s="170" t="s">
        <v>70</v>
      </c>
      <c r="C73" s="171" t="s">
        <v>141</v>
      </c>
    </row>
    <row r="74" spans="1:4">
      <c r="A74" s="170"/>
      <c r="B74" s="170" t="s">
        <v>71</v>
      </c>
      <c r="C74" s="171" t="s">
        <v>139</v>
      </c>
    </row>
    <row r="75" spans="1:4">
      <c r="A75" s="170"/>
      <c r="B75" s="170" t="s">
        <v>272</v>
      </c>
      <c r="C75" s="171" t="s">
        <v>142</v>
      </c>
    </row>
    <row r="76" spans="1:4">
      <c r="A76" s="170"/>
      <c r="B76" s="170" t="s">
        <v>72</v>
      </c>
      <c r="C76" s="171" t="s">
        <v>134</v>
      </c>
    </row>
    <row r="77" spans="1:4">
      <c r="A77" s="170"/>
      <c r="B77" s="170" t="s">
        <v>273</v>
      </c>
      <c r="C77" s="171" t="s">
        <v>341</v>
      </c>
    </row>
    <row r="78" spans="1:4">
      <c r="A78" s="170"/>
      <c r="B78" s="170" t="s">
        <v>274</v>
      </c>
      <c r="C78" s="171" t="s">
        <v>342</v>
      </c>
    </row>
    <row r="79" spans="1:4">
      <c r="A79" s="170"/>
      <c r="B79" s="170" t="s">
        <v>275</v>
      </c>
      <c r="C79" s="171" t="s">
        <v>343</v>
      </c>
    </row>
    <row r="80" spans="1:4">
      <c r="A80" s="170"/>
      <c r="B80" s="170" t="s">
        <v>276</v>
      </c>
      <c r="C80" s="171" t="s">
        <v>344</v>
      </c>
    </row>
    <row r="81" spans="1:4">
      <c r="A81" s="170"/>
      <c r="B81" s="170" t="s">
        <v>75</v>
      </c>
      <c r="C81" s="171" t="s">
        <v>144</v>
      </c>
    </row>
    <row r="82" spans="1:4">
      <c r="A82" s="170"/>
      <c r="B82" s="170" t="s">
        <v>280</v>
      </c>
      <c r="C82" s="171" t="s">
        <v>350</v>
      </c>
    </row>
    <row r="83" spans="1:4">
      <c r="A83" s="170"/>
      <c r="B83" s="170" t="s">
        <v>282</v>
      </c>
      <c r="C83" s="171" t="s">
        <v>351</v>
      </c>
    </row>
    <row r="84" spans="1:4">
      <c r="A84" s="170"/>
      <c r="B84" s="170" t="s">
        <v>281</v>
      </c>
      <c r="C84" s="171" t="s">
        <v>352</v>
      </c>
    </row>
    <row r="85" spans="1:4">
      <c r="A85" s="170"/>
      <c r="B85" s="170" t="s">
        <v>283</v>
      </c>
      <c r="C85" s="171" t="s">
        <v>145</v>
      </c>
    </row>
    <row r="86" spans="1:4">
      <c r="A86" s="170"/>
      <c r="B86" s="170" t="s">
        <v>284</v>
      </c>
      <c r="C86" s="171" t="s">
        <v>146</v>
      </c>
    </row>
    <row r="87" spans="1:4">
      <c r="A87" s="170"/>
      <c r="B87" s="170" t="s">
        <v>285</v>
      </c>
      <c r="C87" s="171" t="s">
        <v>353</v>
      </c>
    </row>
    <row r="88" spans="1:4">
      <c r="A88" s="170"/>
      <c r="B88" s="170" t="s">
        <v>286</v>
      </c>
      <c r="C88" s="171" t="s">
        <v>147</v>
      </c>
    </row>
    <row r="89" spans="1:4">
      <c r="A89" s="170"/>
      <c r="B89" s="170" t="s">
        <v>287</v>
      </c>
      <c r="C89" s="171" t="s">
        <v>148</v>
      </c>
    </row>
    <row r="90" spans="1:4">
      <c r="A90" s="170"/>
      <c r="B90" s="170" t="s">
        <v>63</v>
      </c>
      <c r="C90" s="171" t="s">
        <v>149</v>
      </c>
    </row>
    <row r="91" spans="1:4">
      <c r="A91" s="170"/>
      <c r="B91" s="170" t="s">
        <v>289</v>
      </c>
      <c r="C91" s="171" t="s">
        <v>150</v>
      </c>
    </row>
    <row r="92" spans="1:4">
      <c r="A92" s="170"/>
      <c r="B92" s="170"/>
      <c r="C92" s="171"/>
    </row>
    <row r="93" spans="1:4">
      <c r="A93" s="172" t="s">
        <v>488</v>
      </c>
      <c r="B93" s="172"/>
      <c r="C93" s="173"/>
      <c r="D93" s="130" t="s">
        <v>489</v>
      </c>
    </row>
    <row r="94" spans="1:4">
      <c r="A94" s="174" t="s">
        <v>490</v>
      </c>
      <c r="B94" s="174"/>
      <c r="C94" s="175"/>
      <c r="D94" s="130" t="s">
        <v>491</v>
      </c>
    </row>
    <row r="95" spans="1:4">
      <c r="A95" s="170"/>
      <c r="B95" s="170"/>
      <c r="C95" s="171"/>
    </row>
    <row r="96" spans="1:4">
      <c r="A96" s="176" t="s">
        <v>492</v>
      </c>
      <c r="B96" s="170"/>
      <c r="C96" s="171"/>
    </row>
    <row r="97" spans="1:3">
      <c r="A97" s="176"/>
      <c r="B97" s="170"/>
      <c r="C97" s="171"/>
    </row>
    <row r="98" spans="1:3">
      <c r="A98" s="176" t="s">
        <v>493</v>
      </c>
      <c r="B98" s="170"/>
      <c r="C98" s="171"/>
    </row>
    <row r="99" spans="1:3">
      <c r="A99" s="170"/>
      <c r="B99" s="170" t="s">
        <v>277</v>
      </c>
      <c r="C99" s="171" t="s">
        <v>159</v>
      </c>
    </row>
    <row r="100" spans="1:3">
      <c r="A100" s="170"/>
      <c r="B100" s="170" t="s">
        <v>78</v>
      </c>
      <c r="C100" s="171" t="s">
        <v>151</v>
      </c>
    </row>
    <row r="101" spans="1:3">
      <c r="A101" s="170"/>
      <c r="B101" s="170" t="s">
        <v>65</v>
      </c>
      <c r="C101" s="171" t="s">
        <v>160</v>
      </c>
    </row>
    <row r="102" spans="1:3">
      <c r="A102" s="170"/>
      <c r="B102" s="170" t="s">
        <v>293</v>
      </c>
      <c r="C102" s="171" t="s">
        <v>359</v>
      </c>
    </row>
    <row r="103" spans="1:3">
      <c r="A103" s="170"/>
      <c r="B103" s="170" t="s">
        <v>66</v>
      </c>
      <c r="C103" s="171" t="s">
        <v>165</v>
      </c>
    </row>
    <row r="104" spans="1:3">
      <c r="A104" s="170"/>
      <c r="B104" s="170" t="s">
        <v>81</v>
      </c>
      <c r="C104" s="171" t="s">
        <v>161</v>
      </c>
    </row>
    <row r="105" spans="1:3">
      <c r="A105" s="170"/>
      <c r="B105" s="170" t="s">
        <v>82</v>
      </c>
      <c r="C105" s="171" t="s">
        <v>239</v>
      </c>
    </row>
    <row r="106" spans="1:3">
      <c r="A106" s="170"/>
      <c r="B106" s="170" t="s">
        <v>83</v>
      </c>
      <c r="C106" s="171" t="s">
        <v>162</v>
      </c>
    </row>
    <row r="107" spans="1:3">
      <c r="A107" s="170"/>
      <c r="B107" s="170" t="s">
        <v>84</v>
      </c>
      <c r="C107" s="171" t="s">
        <v>238</v>
      </c>
    </row>
    <row r="108" spans="1:3">
      <c r="A108" s="170"/>
      <c r="B108" s="170" t="s">
        <v>67</v>
      </c>
      <c r="C108" s="171" t="s">
        <v>163</v>
      </c>
    </row>
    <row r="109" spans="1:3">
      <c r="A109" s="170"/>
      <c r="B109" s="170" t="s">
        <v>445</v>
      </c>
      <c r="C109" s="171" t="s">
        <v>446</v>
      </c>
    </row>
    <row r="110" spans="1:3">
      <c r="A110" s="170"/>
      <c r="B110" s="170" t="s">
        <v>294</v>
      </c>
      <c r="C110" s="171" t="s">
        <v>360</v>
      </c>
    </row>
    <row r="111" spans="1:3">
      <c r="A111" s="170"/>
      <c r="B111" s="170" t="s">
        <v>295</v>
      </c>
      <c r="C111" s="171" t="s">
        <v>361</v>
      </c>
    </row>
    <row r="112" spans="1:3">
      <c r="A112" s="170"/>
      <c r="B112" s="170" t="s">
        <v>296</v>
      </c>
      <c r="C112" s="171" t="s">
        <v>362</v>
      </c>
    </row>
    <row r="113" spans="1:4">
      <c r="A113" s="170"/>
      <c r="B113" s="170" t="s">
        <v>298</v>
      </c>
      <c r="C113" s="171" t="s">
        <v>164</v>
      </c>
    </row>
    <row r="114" spans="1:4">
      <c r="A114" s="170"/>
      <c r="B114" s="170" t="s">
        <v>85</v>
      </c>
      <c r="C114" s="171" t="s">
        <v>166</v>
      </c>
    </row>
    <row r="115" spans="1:4">
      <c r="A115" s="170"/>
      <c r="B115" s="170" t="s">
        <v>87</v>
      </c>
      <c r="C115" s="171" t="s">
        <v>176</v>
      </c>
    </row>
    <row r="116" spans="1:4">
      <c r="A116" s="170"/>
      <c r="B116" s="170" t="s">
        <v>304</v>
      </c>
      <c r="C116" s="171" t="s">
        <v>366</v>
      </c>
    </row>
    <row r="117" spans="1:4">
      <c r="A117" s="170"/>
      <c r="B117" s="170" t="s">
        <v>300</v>
      </c>
      <c r="C117" s="171" t="s">
        <v>367</v>
      </c>
    </row>
    <row r="118" spans="1:4">
      <c r="A118" s="170"/>
      <c r="B118" s="170" t="s">
        <v>270</v>
      </c>
      <c r="C118" s="171" t="s">
        <v>337</v>
      </c>
    </row>
    <row r="119" spans="1:4">
      <c r="A119" s="170"/>
      <c r="B119" s="170" t="s">
        <v>92</v>
      </c>
      <c r="C119" s="171" t="s">
        <v>181</v>
      </c>
    </row>
    <row r="120" spans="1:4">
      <c r="A120" s="170"/>
      <c r="B120" s="170" t="s">
        <v>183</v>
      </c>
      <c r="C120" s="171" t="s">
        <v>182</v>
      </c>
    </row>
    <row r="121" spans="1:4">
      <c r="A121" s="170"/>
      <c r="B121" s="170"/>
      <c r="C121" s="171"/>
    </row>
    <row r="122" spans="1:4">
      <c r="A122" s="172" t="s">
        <v>494</v>
      </c>
      <c r="B122" s="172"/>
      <c r="C122" s="177">
        <v>1</v>
      </c>
      <c r="D122" s="130" t="s">
        <v>495</v>
      </c>
    </row>
    <row r="123" spans="1:4">
      <c r="A123" s="176" t="s">
        <v>496</v>
      </c>
      <c r="B123" s="170"/>
      <c r="C123" s="171"/>
    </row>
    <row r="124" spans="1:4">
      <c r="A124" s="170"/>
      <c r="B124" s="170" t="s">
        <v>64</v>
      </c>
      <c r="C124" s="171" t="s">
        <v>169</v>
      </c>
    </row>
    <row r="125" spans="1:4">
      <c r="A125" s="170"/>
      <c r="B125" s="170" t="s">
        <v>62</v>
      </c>
      <c r="C125" s="171" t="s">
        <v>136</v>
      </c>
    </row>
    <row r="126" spans="1:4">
      <c r="A126" s="170"/>
      <c r="B126" s="170" t="s">
        <v>267</v>
      </c>
      <c r="C126" s="171" t="s">
        <v>137</v>
      </c>
    </row>
    <row r="127" spans="1:4">
      <c r="A127" s="170"/>
      <c r="B127" s="170" t="s">
        <v>268</v>
      </c>
      <c r="C127" s="171" t="s">
        <v>335</v>
      </c>
    </row>
    <row r="128" spans="1:4">
      <c r="A128" s="170"/>
      <c r="B128" s="170" t="s">
        <v>69</v>
      </c>
      <c r="C128" s="171" t="s">
        <v>138</v>
      </c>
    </row>
    <row r="129" spans="1:4">
      <c r="A129" s="170"/>
      <c r="B129" s="170" t="s">
        <v>271</v>
      </c>
      <c r="C129" s="171" t="s">
        <v>338</v>
      </c>
    </row>
    <row r="130" spans="1:4">
      <c r="A130" s="170"/>
      <c r="B130" s="170" t="s">
        <v>266</v>
      </c>
      <c r="C130" s="171" t="s">
        <v>449</v>
      </c>
    </row>
    <row r="131" spans="1:4">
      <c r="A131" s="172" t="s">
        <v>497</v>
      </c>
      <c r="B131" s="172"/>
      <c r="C131" s="177">
        <v>2</v>
      </c>
      <c r="D131" s="130" t="s">
        <v>498</v>
      </c>
    </row>
    <row r="132" spans="1:4">
      <c r="A132" s="170"/>
      <c r="B132" s="170"/>
      <c r="C132" s="171"/>
    </row>
    <row r="133" spans="1:4">
      <c r="A133" s="176" t="s">
        <v>499</v>
      </c>
      <c r="B133" s="170"/>
      <c r="C133" s="171"/>
    </row>
    <row r="134" spans="1:4">
      <c r="A134" s="170"/>
      <c r="B134" s="170" t="s">
        <v>73</v>
      </c>
      <c r="C134" s="171" t="s">
        <v>157</v>
      </c>
    </row>
    <row r="135" spans="1:4">
      <c r="A135" s="170"/>
      <c r="B135" s="170" t="s">
        <v>74</v>
      </c>
      <c r="C135" s="171" t="s">
        <v>158</v>
      </c>
    </row>
    <row r="136" spans="1:4">
      <c r="A136" s="170"/>
      <c r="B136" s="170" t="s">
        <v>77</v>
      </c>
      <c r="C136" s="171" t="s">
        <v>140</v>
      </c>
    </row>
    <row r="137" spans="1:4">
      <c r="A137" s="172" t="s">
        <v>500</v>
      </c>
      <c r="B137" s="172"/>
      <c r="C137" s="177">
        <v>3</v>
      </c>
      <c r="D137" s="130" t="s">
        <v>501</v>
      </c>
    </row>
    <row r="138" spans="1:4">
      <c r="A138" s="176" t="s">
        <v>502</v>
      </c>
      <c r="B138" s="170"/>
      <c r="C138" s="171"/>
    </row>
    <row r="139" spans="1:4">
      <c r="A139" s="170"/>
      <c r="B139" s="170" t="s">
        <v>76</v>
      </c>
      <c r="C139" s="171" t="s">
        <v>171</v>
      </c>
    </row>
    <row r="140" spans="1:4">
      <c r="A140" s="170"/>
      <c r="B140" s="170" t="s">
        <v>279</v>
      </c>
      <c r="C140" s="171" t="s">
        <v>349</v>
      </c>
    </row>
    <row r="141" spans="1:4">
      <c r="A141" s="170"/>
      <c r="B141" s="170" t="s">
        <v>288</v>
      </c>
      <c r="C141" s="171" t="s">
        <v>354</v>
      </c>
    </row>
    <row r="142" spans="1:4">
      <c r="A142" s="170"/>
      <c r="B142" s="170" t="s">
        <v>80</v>
      </c>
      <c r="C142" s="171" t="s">
        <v>155</v>
      </c>
    </row>
    <row r="143" spans="1:4">
      <c r="A143" s="170"/>
      <c r="B143" s="170" t="s">
        <v>290</v>
      </c>
      <c r="C143" s="171" t="s">
        <v>355</v>
      </c>
    </row>
    <row r="144" spans="1:4">
      <c r="A144" s="170"/>
      <c r="B144" s="170" t="s">
        <v>79</v>
      </c>
      <c r="C144" s="171" t="s">
        <v>154</v>
      </c>
    </row>
    <row r="145" spans="1:4">
      <c r="A145" s="170"/>
      <c r="B145" s="170" t="s">
        <v>291</v>
      </c>
      <c r="C145" s="171" t="s">
        <v>356</v>
      </c>
    </row>
    <row r="146" spans="1:4">
      <c r="A146" s="170"/>
      <c r="B146" s="170" t="s">
        <v>292</v>
      </c>
      <c r="C146" s="171" t="s">
        <v>357</v>
      </c>
    </row>
    <row r="147" spans="1:4">
      <c r="A147" s="170"/>
      <c r="B147" s="170" t="s">
        <v>96</v>
      </c>
      <c r="C147" s="171" t="s">
        <v>135</v>
      </c>
    </row>
    <row r="148" spans="1:4">
      <c r="A148" s="172" t="s">
        <v>156</v>
      </c>
      <c r="B148" s="172"/>
      <c r="C148" s="177">
        <v>4</v>
      </c>
      <c r="D148" s="130" t="s">
        <v>503</v>
      </c>
    </row>
    <row r="149" spans="1:4">
      <c r="A149" s="176" t="s">
        <v>504</v>
      </c>
      <c r="B149" s="170"/>
      <c r="C149" s="171"/>
    </row>
    <row r="150" spans="1:4">
      <c r="A150" s="170"/>
      <c r="B150" s="170" t="s">
        <v>88</v>
      </c>
      <c r="C150" s="171" t="s">
        <v>173</v>
      </c>
    </row>
    <row r="151" spans="1:4">
      <c r="A151" s="170"/>
      <c r="B151" s="170" t="s">
        <v>89</v>
      </c>
      <c r="C151" s="171" t="s">
        <v>174</v>
      </c>
    </row>
    <row r="152" spans="1:4">
      <c r="A152" s="170"/>
      <c r="B152" s="170" t="s">
        <v>90</v>
      </c>
      <c r="C152" s="171" t="s">
        <v>175</v>
      </c>
    </row>
    <row r="153" spans="1:4">
      <c r="A153" s="176"/>
      <c r="B153" s="170"/>
      <c r="C153" s="171"/>
    </row>
    <row r="154" spans="1:4">
      <c r="A154" s="172" t="s">
        <v>505</v>
      </c>
      <c r="B154" s="172"/>
      <c r="C154" s="177">
        <v>5</v>
      </c>
      <c r="D154" s="130" t="s">
        <v>506</v>
      </c>
    </row>
    <row r="155" spans="1:4">
      <c r="A155" s="178" t="s">
        <v>507</v>
      </c>
      <c r="B155" s="178"/>
      <c r="C155" s="179" t="s">
        <v>508</v>
      </c>
      <c r="D155" s="130" t="s">
        <v>509</v>
      </c>
    </row>
    <row r="156" spans="1:4">
      <c r="A156" s="180" t="s">
        <v>510</v>
      </c>
      <c r="B156" s="180"/>
      <c r="C156" s="181"/>
      <c r="D156" s="130" t="s">
        <v>511</v>
      </c>
    </row>
    <row r="157" spans="1:4">
      <c r="A157" s="170"/>
      <c r="B157" s="170"/>
      <c r="C157" s="171"/>
    </row>
    <row r="158" spans="1:4">
      <c r="A158" s="176" t="s">
        <v>512</v>
      </c>
      <c r="B158" s="170"/>
      <c r="C158" s="171"/>
    </row>
    <row r="159" spans="1:4">
      <c r="A159" s="170"/>
      <c r="B159" s="170" t="s">
        <v>86</v>
      </c>
      <c r="C159" s="171" t="s">
        <v>172</v>
      </c>
    </row>
    <row r="160" spans="1:4">
      <c r="A160" s="170"/>
      <c r="B160" s="170" t="s">
        <v>302</v>
      </c>
      <c r="C160" s="171" t="s">
        <v>365</v>
      </c>
    </row>
    <row r="161" spans="1:4">
      <c r="A161" s="170"/>
      <c r="B161" s="170" t="s">
        <v>297</v>
      </c>
      <c r="C161" s="171" t="s">
        <v>363</v>
      </c>
    </row>
    <row r="162" spans="1:4">
      <c r="A162" s="170"/>
      <c r="B162" s="170" t="s">
        <v>91</v>
      </c>
      <c r="C162" s="171" t="s">
        <v>168</v>
      </c>
    </row>
    <row r="163" spans="1:4">
      <c r="A163" s="178" t="s">
        <v>513</v>
      </c>
      <c r="B163" s="178"/>
      <c r="C163" s="179"/>
      <c r="D163" s="130" t="s">
        <v>514</v>
      </c>
    </row>
    <row r="164" spans="1:4">
      <c r="A164" s="180" t="s">
        <v>178</v>
      </c>
      <c r="B164" s="180"/>
      <c r="C164" s="181"/>
    </row>
    <row r="165" spans="1:4">
      <c r="A165" s="182" t="s">
        <v>179</v>
      </c>
      <c r="B165" s="182"/>
      <c r="C165" s="183"/>
      <c r="D165" s="130" t="s">
        <v>515</v>
      </c>
    </row>
    <row r="166" spans="1:4">
      <c r="A166" s="170"/>
      <c r="B166" s="170" t="s">
        <v>301</v>
      </c>
      <c r="C166" s="171" t="s">
        <v>368</v>
      </c>
    </row>
    <row r="167" spans="1:4">
      <c r="A167" s="170"/>
      <c r="B167" s="170" t="s">
        <v>452</v>
      </c>
      <c r="C167" s="171" t="s">
        <v>453</v>
      </c>
    </row>
    <row r="168" spans="1:4">
      <c r="A168" s="172" t="s">
        <v>180</v>
      </c>
      <c r="B168" s="172"/>
      <c r="C168" s="173"/>
    </row>
    <row r="169" spans="1:4">
      <c r="A169" s="170"/>
      <c r="B169" s="170" t="s">
        <v>94</v>
      </c>
      <c r="C169" s="171" t="s">
        <v>184</v>
      </c>
    </row>
    <row r="170" spans="1:4">
      <c r="A170" s="170"/>
      <c r="B170" s="170" t="s">
        <v>95</v>
      </c>
      <c r="C170" s="171" t="s">
        <v>185</v>
      </c>
    </row>
    <row r="171" spans="1:4" ht="15" thickBot="1">
      <c r="A171" s="184" t="s">
        <v>2</v>
      </c>
      <c r="B171" s="184"/>
      <c r="C171" s="185"/>
    </row>
  </sheetData>
  <mergeCells count="4">
    <mergeCell ref="A2:C2"/>
    <mergeCell ref="A3:C3"/>
    <mergeCell ref="A4:C4"/>
    <mergeCell ref="A5:C5"/>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
  <sheetViews>
    <sheetView workbookViewId="0"/>
  </sheetViews>
  <sheetFormatPr defaultColWidth="9.109375" defaultRowHeight="14.4"/>
  <cols>
    <col min="1" max="1" width="15.109375" style="3" bestFit="1" customWidth="1"/>
    <col min="2" max="2" width="6.88671875" style="3" customWidth="1"/>
    <col min="3" max="4" width="10.6640625" style="3" customWidth="1"/>
    <col min="5" max="5" width="10.6640625" style="3" bestFit="1" customWidth="1"/>
    <col min="6" max="16384" width="9.109375" style="3"/>
  </cols>
  <sheetData>
    <row r="1" spans="1:5">
      <c r="A1" s="3" t="s">
        <v>40</v>
      </c>
      <c r="B1" s="3" t="s">
        <v>41</v>
      </c>
      <c r="C1" s="3" t="s">
        <v>42</v>
      </c>
      <c r="D1" s="3" t="s">
        <v>43</v>
      </c>
    </row>
    <row r="2" spans="1:5">
      <c r="A2" s="3" t="s">
        <v>584</v>
      </c>
      <c r="B2" s="40" t="s">
        <v>44</v>
      </c>
      <c r="C2" s="4">
        <v>43465</v>
      </c>
      <c r="D2" s="4">
        <v>43492</v>
      </c>
      <c r="E2" s="4"/>
    </row>
    <row r="3" spans="1:5">
      <c r="B3" s="3" t="s">
        <v>45</v>
      </c>
      <c r="C3" s="4">
        <v>43466</v>
      </c>
      <c r="D3" s="4">
        <v>43496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14"/>
  <sheetViews>
    <sheetView workbookViewId="0"/>
  </sheetViews>
  <sheetFormatPr defaultColWidth="9.109375" defaultRowHeight="14.4"/>
  <cols>
    <col min="1" max="1" width="38" style="3" bestFit="1" customWidth="1"/>
    <col min="2" max="9" width="12.33203125" style="128" bestFit="1" customWidth="1"/>
    <col min="10" max="13" width="12.33203125" style="3" bestFit="1" customWidth="1"/>
    <col min="14" max="14" width="14" style="3" bestFit="1" customWidth="1"/>
    <col min="15" max="16384" width="9.109375" style="3"/>
  </cols>
  <sheetData>
    <row r="1" spans="1:14">
      <c r="J1" s="128"/>
      <c r="K1" s="128"/>
      <c r="L1" s="128"/>
    </row>
    <row r="2" spans="1:14">
      <c r="B2" s="129">
        <v>43861</v>
      </c>
      <c r="C2" s="129">
        <v>43890</v>
      </c>
      <c r="D2" s="129">
        <v>43921</v>
      </c>
      <c r="E2" s="129">
        <v>43951</v>
      </c>
      <c r="F2" s="129">
        <v>43982</v>
      </c>
      <c r="G2" s="129">
        <v>44012</v>
      </c>
      <c r="H2" s="129">
        <v>44043</v>
      </c>
      <c r="I2" s="129">
        <v>44074</v>
      </c>
      <c r="J2" s="129">
        <v>44104</v>
      </c>
      <c r="K2" s="129">
        <v>44135</v>
      </c>
      <c r="L2" s="129">
        <v>44165</v>
      </c>
      <c r="M2" s="129">
        <v>44196</v>
      </c>
      <c r="N2" s="3" t="s">
        <v>236</v>
      </c>
    </row>
    <row r="4" spans="1:14">
      <c r="A4" s="128" t="s">
        <v>49</v>
      </c>
      <c r="B4" s="128">
        <v>245494.19</v>
      </c>
      <c r="C4" s="128">
        <v>233893.54</v>
      </c>
      <c r="D4" s="128">
        <v>79223.12</v>
      </c>
      <c r="E4" s="128">
        <v>0</v>
      </c>
      <c r="F4" s="128">
        <v>0</v>
      </c>
      <c r="G4" s="128">
        <v>0</v>
      </c>
      <c r="H4" s="128">
        <v>40074.26</v>
      </c>
      <c r="I4" s="128">
        <v>129690.76</v>
      </c>
      <c r="J4" s="128">
        <v>172672.66</v>
      </c>
      <c r="K4" s="128">
        <v>200650.71</v>
      </c>
      <c r="L4" s="128">
        <v>139293.92000000001</v>
      </c>
      <c r="M4" s="128">
        <v>20678.75</v>
      </c>
    </row>
    <row r="5" spans="1:14">
      <c r="A5" s="128" t="s">
        <v>246</v>
      </c>
      <c r="B5" s="128">
        <v>31815.23</v>
      </c>
      <c r="C5" s="128">
        <v>31703.34</v>
      </c>
      <c r="D5" s="128">
        <v>12477.9</v>
      </c>
      <c r="E5" s="128">
        <v>0</v>
      </c>
      <c r="F5" s="128">
        <v>0</v>
      </c>
      <c r="G5" s="128">
        <v>0</v>
      </c>
      <c r="H5" s="128">
        <v>3191</v>
      </c>
      <c r="I5" s="128">
        <v>2447.67</v>
      </c>
      <c r="J5" s="128">
        <v>5477.04</v>
      </c>
      <c r="K5" s="128">
        <v>7837.62</v>
      </c>
      <c r="L5" s="128">
        <v>1083.3800000000001</v>
      </c>
      <c r="M5" s="128">
        <v>2988.1</v>
      </c>
    </row>
    <row r="6" spans="1:14">
      <c r="A6" s="128" t="s">
        <v>247</v>
      </c>
      <c r="B6" s="128">
        <v>38218.44</v>
      </c>
      <c r="C6" s="128">
        <v>39066.370000000003</v>
      </c>
      <c r="D6" s="128">
        <v>16144.36</v>
      </c>
      <c r="E6" s="128">
        <v>0</v>
      </c>
      <c r="F6" s="128">
        <v>0</v>
      </c>
      <c r="G6" s="128">
        <v>0</v>
      </c>
      <c r="H6" s="128">
        <v>6280.59</v>
      </c>
      <c r="I6" s="128">
        <v>22584.97</v>
      </c>
      <c r="J6" s="128">
        <v>23879.75</v>
      </c>
      <c r="K6" s="128">
        <v>27463.58</v>
      </c>
      <c r="L6" s="128">
        <v>18243.509999999998</v>
      </c>
      <c r="M6" s="128">
        <v>5016.2700000000004</v>
      </c>
    </row>
    <row r="7" spans="1:14">
      <c r="A7" s="128" t="s">
        <v>50</v>
      </c>
      <c r="B7" s="128">
        <v>111795.16</v>
      </c>
      <c r="C7" s="128">
        <v>99263.66</v>
      </c>
      <c r="D7" s="128">
        <v>31394.5</v>
      </c>
      <c r="E7" s="128">
        <v>0</v>
      </c>
      <c r="F7" s="128">
        <v>0</v>
      </c>
      <c r="G7" s="128">
        <v>0</v>
      </c>
      <c r="H7" s="128">
        <v>40037.49</v>
      </c>
      <c r="I7" s="128">
        <v>125109.88</v>
      </c>
      <c r="J7" s="128">
        <v>145297.26</v>
      </c>
      <c r="K7" s="128">
        <v>171610.95</v>
      </c>
      <c r="L7" s="128">
        <v>102692.73</v>
      </c>
      <c r="M7" s="128">
        <v>4361.54</v>
      </c>
    </row>
    <row r="8" spans="1:14">
      <c r="A8" s="128" t="s">
        <v>51</v>
      </c>
      <c r="B8" s="128">
        <v>9944.56</v>
      </c>
      <c r="C8" s="128">
        <v>11285.46</v>
      </c>
      <c r="D8" s="128">
        <v>3739.66</v>
      </c>
      <c r="E8" s="128">
        <v>0</v>
      </c>
      <c r="F8" s="128">
        <v>0</v>
      </c>
      <c r="G8" s="128">
        <v>0</v>
      </c>
      <c r="H8" s="128">
        <v>1652.32</v>
      </c>
      <c r="I8" s="128">
        <v>5549.74</v>
      </c>
      <c r="J8" s="128">
        <v>5511.26</v>
      </c>
      <c r="K8" s="128">
        <v>7132.52</v>
      </c>
      <c r="L8" s="128">
        <v>5037.8999999999996</v>
      </c>
      <c r="M8" s="128">
        <v>490.73</v>
      </c>
    </row>
    <row r="9" spans="1:14">
      <c r="A9" s="128" t="s">
        <v>248</v>
      </c>
      <c r="B9" s="128">
        <v>1984.49</v>
      </c>
      <c r="C9" s="128">
        <v>1889.88</v>
      </c>
      <c r="D9" s="128">
        <v>680.87</v>
      </c>
      <c r="E9" s="128">
        <v>0</v>
      </c>
      <c r="F9" s="128">
        <v>0</v>
      </c>
      <c r="G9" s="128">
        <v>0</v>
      </c>
      <c r="H9" s="128">
        <v>638.97</v>
      </c>
      <c r="I9" s="128">
        <v>5511.25</v>
      </c>
      <c r="J9" s="128">
        <v>10587.8</v>
      </c>
      <c r="K9" s="128">
        <v>13816.4</v>
      </c>
      <c r="L9" s="128">
        <v>8638.07</v>
      </c>
      <c r="M9" s="128">
        <v>575.44000000000005</v>
      </c>
    </row>
    <row r="10" spans="1:14">
      <c r="A10" s="128" t="s">
        <v>434</v>
      </c>
      <c r="B10" s="128">
        <v>13886.91</v>
      </c>
      <c r="C10" s="128">
        <v>14054.16</v>
      </c>
      <c r="D10" s="128">
        <v>4772.1400000000003</v>
      </c>
      <c r="E10" s="128">
        <v>0</v>
      </c>
      <c r="F10" s="128">
        <v>0</v>
      </c>
      <c r="G10" s="128">
        <v>0</v>
      </c>
      <c r="H10" s="128">
        <v>2885.46</v>
      </c>
      <c r="I10" s="128">
        <v>9996</v>
      </c>
      <c r="J10" s="128">
        <v>13896.13</v>
      </c>
      <c r="K10" s="128">
        <v>16879.48</v>
      </c>
      <c r="L10" s="128">
        <v>10583.9</v>
      </c>
      <c r="M10" s="128">
        <v>293.16000000000003</v>
      </c>
    </row>
    <row r="11" spans="1:14">
      <c r="A11" s="128" t="s">
        <v>249</v>
      </c>
      <c r="B11" s="128">
        <v>0</v>
      </c>
      <c r="C11" s="128">
        <v>0</v>
      </c>
      <c r="D11" s="128">
        <v>0</v>
      </c>
      <c r="E11" s="128">
        <v>0</v>
      </c>
      <c r="F11" s="128">
        <v>0</v>
      </c>
      <c r="G11" s="128">
        <v>0</v>
      </c>
      <c r="H11" s="128">
        <v>0</v>
      </c>
      <c r="I11" s="128">
        <v>0</v>
      </c>
      <c r="J11" s="128">
        <v>0</v>
      </c>
      <c r="K11" s="128">
        <v>0</v>
      </c>
      <c r="L11" s="128">
        <v>0</v>
      </c>
      <c r="M11" s="128">
        <v>0</v>
      </c>
    </row>
    <row r="12" spans="1:14">
      <c r="A12" s="128" t="s">
        <v>250</v>
      </c>
      <c r="B12" s="128">
        <v>0</v>
      </c>
      <c r="C12" s="128">
        <v>53.89</v>
      </c>
      <c r="D12" s="128">
        <v>10</v>
      </c>
      <c r="E12" s="128">
        <v>0</v>
      </c>
      <c r="F12" s="128">
        <v>0</v>
      </c>
      <c r="G12" s="128">
        <v>0</v>
      </c>
      <c r="H12" s="128">
        <v>0</v>
      </c>
      <c r="I12" s="128">
        <v>0</v>
      </c>
      <c r="J12" s="128">
        <v>0</v>
      </c>
      <c r="K12" s="128">
        <v>0</v>
      </c>
      <c r="L12" s="128">
        <v>0</v>
      </c>
      <c r="M12" s="128">
        <v>0</v>
      </c>
    </row>
    <row r="13" spans="1:14">
      <c r="A13" s="128" t="s">
        <v>251</v>
      </c>
      <c r="B13" s="128">
        <v>2757.54</v>
      </c>
      <c r="C13" s="128">
        <v>2594.83</v>
      </c>
      <c r="D13" s="128">
        <v>2474.1</v>
      </c>
      <c r="E13" s="128">
        <v>0</v>
      </c>
      <c r="F13" s="128">
        <v>0</v>
      </c>
      <c r="G13" s="128">
        <v>0</v>
      </c>
      <c r="H13" s="128">
        <v>25</v>
      </c>
      <c r="I13" s="128">
        <v>122.01</v>
      </c>
      <c r="J13" s="128">
        <v>37.020000000000003</v>
      </c>
      <c r="K13" s="128">
        <v>546.25</v>
      </c>
      <c r="L13" s="128">
        <v>34.25</v>
      </c>
      <c r="M13" s="128">
        <v>1529</v>
      </c>
    </row>
    <row r="14" spans="1:14">
      <c r="A14" s="128" t="s">
        <v>52</v>
      </c>
      <c r="B14" s="128">
        <v>82168.42</v>
      </c>
      <c r="C14" s="128">
        <v>76670.509999999995</v>
      </c>
      <c r="D14" s="128">
        <v>48544.08</v>
      </c>
      <c r="E14" s="128">
        <v>1478.76</v>
      </c>
      <c r="F14" s="128">
        <v>-108.75</v>
      </c>
      <c r="G14" s="128">
        <v>808.32</v>
      </c>
      <c r="H14" s="128">
        <v>11740.01</v>
      </c>
      <c r="I14" s="128">
        <v>45853.24</v>
      </c>
      <c r="J14" s="128">
        <v>42996.45</v>
      </c>
      <c r="K14" s="128">
        <v>59646.95</v>
      </c>
      <c r="L14" s="128">
        <v>34132.15</v>
      </c>
      <c r="M14" s="128">
        <v>5607.1</v>
      </c>
    </row>
    <row r="15" spans="1:14">
      <c r="A15" s="128" t="s">
        <v>252</v>
      </c>
      <c r="B15" s="128">
        <v>6511.3</v>
      </c>
      <c r="C15" s="128">
        <v>2015.37</v>
      </c>
      <c r="D15" s="128">
        <v>6148.35</v>
      </c>
      <c r="E15" s="128">
        <v>0</v>
      </c>
      <c r="F15" s="128">
        <v>0</v>
      </c>
      <c r="G15" s="128">
        <v>0</v>
      </c>
      <c r="H15" s="128">
        <v>471.29</v>
      </c>
      <c r="I15" s="128">
        <v>772.97</v>
      </c>
      <c r="J15" s="128">
        <v>440.52</v>
      </c>
      <c r="K15" s="128">
        <v>908.97</v>
      </c>
      <c r="L15" s="128">
        <v>1033.56</v>
      </c>
      <c r="M15" s="128">
        <v>745.89</v>
      </c>
    </row>
    <row r="16" spans="1:14">
      <c r="A16" s="128" t="s">
        <v>53</v>
      </c>
      <c r="B16" s="128">
        <v>21452.86</v>
      </c>
      <c r="C16" s="128">
        <v>16324.57</v>
      </c>
      <c r="D16" s="128">
        <v>6088.24</v>
      </c>
      <c r="E16" s="128">
        <v>0</v>
      </c>
      <c r="F16" s="128">
        <v>0</v>
      </c>
      <c r="G16" s="128">
        <v>0</v>
      </c>
      <c r="H16" s="128">
        <v>1638.01</v>
      </c>
      <c r="I16" s="128">
        <v>2703.07</v>
      </c>
      <c r="J16" s="128">
        <v>3919.91</v>
      </c>
      <c r="K16" s="128">
        <v>7969.97</v>
      </c>
      <c r="L16" s="128">
        <v>5968.43</v>
      </c>
      <c r="M16" s="128">
        <v>3301.56</v>
      </c>
    </row>
    <row r="17" spans="1:13">
      <c r="A17" s="128" t="s">
        <v>54</v>
      </c>
      <c r="B17" s="128">
        <v>18179.53</v>
      </c>
      <c r="C17" s="128">
        <v>22291.85</v>
      </c>
      <c r="D17" s="128">
        <v>5694.48</v>
      </c>
      <c r="E17" s="128">
        <v>0</v>
      </c>
      <c r="F17" s="128">
        <v>-279</v>
      </c>
      <c r="G17" s="128">
        <v>0</v>
      </c>
      <c r="H17" s="128">
        <v>8475.17</v>
      </c>
      <c r="I17" s="128">
        <v>21900.59</v>
      </c>
      <c r="J17" s="128">
        <v>17257.25</v>
      </c>
      <c r="K17" s="128">
        <v>21143.93</v>
      </c>
      <c r="L17" s="128">
        <v>14662.91</v>
      </c>
      <c r="M17" s="128">
        <v>1547.92</v>
      </c>
    </row>
    <row r="18" spans="1:13">
      <c r="A18" s="128" t="s">
        <v>55</v>
      </c>
      <c r="B18" s="128">
        <v>1953.35</v>
      </c>
      <c r="C18" s="128">
        <v>3666.48</v>
      </c>
      <c r="D18" s="128">
        <v>468.3</v>
      </c>
      <c r="E18" s="128">
        <v>116.4</v>
      </c>
      <c r="F18" s="128">
        <v>0</v>
      </c>
      <c r="G18" s="128">
        <v>-90</v>
      </c>
      <c r="H18" s="128">
        <v>1264.9000000000001</v>
      </c>
      <c r="I18" s="128">
        <v>1139.93</v>
      </c>
      <c r="J18" s="128">
        <v>1800.41</v>
      </c>
      <c r="K18" s="128">
        <v>2132.89</v>
      </c>
      <c r="L18" s="128">
        <v>1236.25</v>
      </c>
      <c r="M18" s="128">
        <v>72.64</v>
      </c>
    </row>
    <row r="19" spans="1:13">
      <c r="A19" s="128" t="s">
        <v>253</v>
      </c>
      <c r="B19" s="128">
        <v>3402.45</v>
      </c>
      <c r="C19" s="128">
        <v>1513.85</v>
      </c>
      <c r="D19" s="128">
        <v>355.94</v>
      </c>
      <c r="E19" s="128">
        <v>248.33</v>
      </c>
      <c r="F19" s="128">
        <v>0</v>
      </c>
      <c r="G19" s="128">
        <v>1766.5</v>
      </c>
      <c r="H19" s="128">
        <v>53.76</v>
      </c>
      <c r="I19" s="128">
        <v>1496.69</v>
      </c>
      <c r="J19" s="128">
        <v>2430.9899999999998</v>
      </c>
      <c r="K19" s="128">
        <v>6551.12</v>
      </c>
      <c r="L19" s="128">
        <v>2405.42</v>
      </c>
      <c r="M19" s="128">
        <v>-38.25</v>
      </c>
    </row>
    <row r="20" spans="1:13">
      <c r="A20" s="128" t="s">
        <v>254</v>
      </c>
      <c r="B20" s="128">
        <v>0</v>
      </c>
      <c r="C20" s="128">
        <v>0</v>
      </c>
      <c r="D20" s="128">
        <v>0</v>
      </c>
      <c r="E20" s="128">
        <v>0</v>
      </c>
      <c r="F20" s="128">
        <v>0</v>
      </c>
      <c r="G20" s="128">
        <v>0</v>
      </c>
      <c r="H20" s="128">
        <v>0</v>
      </c>
      <c r="I20" s="128">
        <v>0</v>
      </c>
      <c r="J20" s="128">
        <v>0</v>
      </c>
      <c r="K20" s="128">
        <v>0</v>
      </c>
      <c r="L20" s="128">
        <v>0</v>
      </c>
      <c r="M20" s="128">
        <v>0</v>
      </c>
    </row>
    <row r="21" spans="1:13">
      <c r="A21" s="128" t="s">
        <v>57</v>
      </c>
      <c r="B21" s="128">
        <v>56487.03</v>
      </c>
      <c r="C21" s="128">
        <v>50872.92</v>
      </c>
      <c r="D21" s="128">
        <v>41341.160000000003</v>
      </c>
      <c r="E21" s="128">
        <v>7709.05</v>
      </c>
      <c r="F21" s="128">
        <v>4741.43</v>
      </c>
      <c r="G21" s="128">
        <v>14248.04</v>
      </c>
      <c r="H21" s="128">
        <v>5277.83</v>
      </c>
      <c r="I21" s="128">
        <v>4920.34</v>
      </c>
      <c r="J21" s="128">
        <v>17242.98</v>
      </c>
      <c r="K21" s="128">
        <v>16565.95</v>
      </c>
      <c r="L21" s="128">
        <v>22722.42</v>
      </c>
      <c r="M21" s="128">
        <v>7785.13</v>
      </c>
    </row>
    <row r="22" spans="1:13">
      <c r="A22" s="128" t="s">
        <v>255</v>
      </c>
      <c r="B22" s="128">
        <v>105896.7</v>
      </c>
      <c r="C22" s="128">
        <v>91209.3</v>
      </c>
      <c r="D22" s="128">
        <v>52436.44</v>
      </c>
      <c r="E22" s="128">
        <v>12123.04</v>
      </c>
      <c r="F22" s="128">
        <v>0</v>
      </c>
      <c r="G22" s="128">
        <v>0</v>
      </c>
      <c r="H22" s="128">
        <v>649.05999999999995</v>
      </c>
      <c r="I22" s="128">
        <v>22920.080000000002</v>
      </c>
      <c r="J22" s="128">
        <v>42946.39</v>
      </c>
      <c r="K22" s="128">
        <v>58732.91</v>
      </c>
      <c r="L22" s="128">
        <v>56290.34</v>
      </c>
      <c r="M22" s="128">
        <v>-720.98</v>
      </c>
    </row>
    <row r="23" spans="1:13">
      <c r="A23" s="128" t="s">
        <v>256</v>
      </c>
      <c r="B23" s="128">
        <v>2100</v>
      </c>
      <c r="C23" s="128">
        <v>171.43</v>
      </c>
      <c r="D23" s="128">
        <v>428.57</v>
      </c>
      <c r="E23" s="128">
        <v>0</v>
      </c>
      <c r="F23" s="128">
        <v>0</v>
      </c>
      <c r="G23" s="128">
        <v>0</v>
      </c>
      <c r="H23" s="128">
        <v>0</v>
      </c>
      <c r="I23" s="128">
        <v>0</v>
      </c>
      <c r="J23" s="128">
        <v>8000</v>
      </c>
      <c r="K23" s="128">
        <v>3312.5</v>
      </c>
      <c r="L23" s="128">
        <v>0</v>
      </c>
      <c r="M23" s="128">
        <v>0</v>
      </c>
    </row>
    <row r="24" spans="1:13">
      <c r="A24" s="128" t="s">
        <v>257</v>
      </c>
      <c r="B24" s="128">
        <v>81532.2</v>
      </c>
      <c r="C24" s="128">
        <v>60810.69</v>
      </c>
      <c r="D24" s="128">
        <v>69982.89</v>
      </c>
      <c r="E24" s="128">
        <v>16987.38</v>
      </c>
      <c r="F24" s="128">
        <v>12480</v>
      </c>
      <c r="G24" s="128">
        <v>12400.12</v>
      </c>
      <c r="H24" s="128">
        <v>14145.29</v>
      </c>
      <c r="I24" s="128">
        <v>35349.21</v>
      </c>
      <c r="J24" s="128">
        <v>42667.5</v>
      </c>
      <c r="K24" s="128">
        <v>55201.72</v>
      </c>
      <c r="L24" s="128">
        <v>45327.67</v>
      </c>
      <c r="M24" s="128">
        <v>23035.11</v>
      </c>
    </row>
    <row r="25" spans="1:13">
      <c r="A25" s="128" t="s">
        <v>258</v>
      </c>
      <c r="B25" s="128">
        <v>0</v>
      </c>
      <c r="C25" s="128">
        <v>0</v>
      </c>
      <c r="D25" s="128">
        <v>0</v>
      </c>
      <c r="E25" s="128">
        <v>0</v>
      </c>
      <c r="F25" s="128">
        <v>0</v>
      </c>
      <c r="G25" s="128">
        <v>1500</v>
      </c>
      <c r="H25" s="128">
        <v>4500</v>
      </c>
      <c r="I25" s="128">
        <v>0</v>
      </c>
      <c r="J25" s="128">
        <v>0</v>
      </c>
      <c r="K25" s="128">
        <v>0</v>
      </c>
      <c r="L25" s="128">
        <v>0</v>
      </c>
      <c r="M25" s="128">
        <v>0</v>
      </c>
    </row>
    <row r="26" spans="1:13">
      <c r="A26" s="128" t="s">
        <v>259</v>
      </c>
      <c r="B26" s="128">
        <v>108612.29</v>
      </c>
      <c r="C26" s="128">
        <v>70330.649999999994</v>
      </c>
      <c r="D26" s="128">
        <v>45725.09</v>
      </c>
      <c r="E26" s="128">
        <v>12650.5</v>
      </c>
      <c r="F26" s="128">
        <v>0</v>
      </c>
      <c r="G26" s="128">
        <v>4409.75</v>
      </c>
      <c r="H26" s="128">
        <v>0</v>
      </c>
      <c r="I26" s="128">
        <v>30451.279999999999</v>
      </c>
      <c r="J26" s="128">
        <v>33641.050000000003</v>
      </c>
      <c r="K26" s="128">
        <v>44436.67</v>
      </c>
      <c r="L26" s="128">
        <v>42261.35</v>
      </c>
      <c r="M26" s="128">
        <v>1978.58</v>
      </c>
    </row>
    <row r="27" spans="1:13">
      <c r="A27" s="128" t="s">
        <v>260</v>
      </c>
      <c r="B27" s="128">
        <v>0</v>
      </c>
      <c r="C27" s="128">
        <v>0</v>
      </c>
      <c r="D27" s="128">
        <v>0</v>
      </c>
      <c r="E27" s="128">
        <v>0</v>
      </c>
      <c r="F27" s="128">
        <v>0</v>
      </c>
      <c r="G27" s="128">
        <v>0</v>
      </c>
      <c r="H27" s="128">
        <v>0</v>
      </c>
      <c r="I27" s="128">
        <v>0</v>
      </c>
      <c r="J27" s="128">
        <v>0</v>
      </c>
      <c r="K27" s="128">
        <v>0</v>
      </c>
      <c r="L27" s="128">
        <v>0</v>
      </c>
      <c r="M27" s="128">
        <v>0</v>
      </c>
    </row>
    <row r="28" spans="1:13">
      <c r="A28" s="128" t="s">
        <v>261</v>
      </c>
      <c r="B28" s="128">
        <v>0</v>
      </c>
      <c r="C28" s="128">
        <v>0</v>
      </c>
      <c r="D28" s="128">
        <v>0</v>
      </c>
      <c r="E28" s="128">
        <v>0</v>
      </c>
      <c r="F28" s="128">
        <v>0</v>
      </c>
      <c r="G28" s="128">
        <v>0</v>
      </c>
      <c r="H28" s="128">
        <v>0</v>
      </c>
      <c r="I28" s="128">
        <v>0</v>
      </c>
      <c r="J28" s="128">
        <v>0</v>
      </c>
      <c r="K28" s="128">
        <v>0</v>
      </c>
      <c r="L28" s="128">
        <v>0</v>
      </c>
      <c r="M28" s="128">
        <v>0</v>
      </c>
    </row>
    <row r="29" spans="1:13">
      <c r="A29" s="128" t="s">
        <v>262</v>
      </c>
      <c r="B29" s="128">
        <v>0</v>
      </c>
      <c r="C29" s="128">
        <v>0</v>
      </c>
      <c r="D29" s="128">
        <v>0</v>
      </c>
      <c r="E29" s="128">
        <v>0</v>
      </c>
      <c r="F29" s="128">
        <v>0</v>
      </c>
      <c r="G29" s="128">
        <v>0</v>
      </c>
      <c r="H29" s="128">
        <v>0</v>
      </c>
      <c r="I29" s="128">
        <v>0</v>
      </c>
      <c r="J29" s="128">
        <v>0</v>
      </c>
      <c r="K29" s="128">
        <v>0</v>
      </c>
      <c r="L29" s="128">
        <v>0</v>
      </c>
      <c r="M29" s="128">
        <v>0</v>
      </c>
    </row>
    <row r="30" spans="1:13">
      <c r="A30" s="128" t="s">
        <v>263</v>
      </c>
      <c r="B30" s="128">
        <v>0</v>
      </c>
      <c r="C30" s="128">
        <v>0</v>
      </c>
      <c r="D30" s="128">
        <v>0</v>
      </c>
      <c r="E30" s="128">
        <v>0</v>
      </c>
      <c r="F30" s="128">
        <v>0</v>
      </c>
      <c r="G30" s="128">
        <v>0</v>
      </c>
      <c r="H30" s="128">
        <v>0</v>
      </c>
      <c r="I30" s="128">
        <v>0</v>
      </c>
      <c r="J30" s="128">
        <v>0</v>
      </c>
      <c r="K30" s="128">
        <v>0</v>
      </c>
      <c r="L30" s="128">
        <v>0</v>
      </c>
      <c r="M30" s="128">
        <v>0</v>
      </c>
    </row>
    <row r="31" spans="1:13">
      <c r="A31" s="128" t="s">
        <v>58</v>
      </c>
      <c r="B31" s="128">
        <v>50433.69</v>
      </c>
      <c r="C31" s="128">
        <v>34916.589999999997</v>
      </c>
      <c r="D31" s="128">
        <v>22283.43</v>
      </c>
      <c r="E31" s="128">
        <v>4188.55</v>
      </c>
      <c r="F31" s="128">
        <v>1218.18</v>
      </c>
      <c r="G31" s="128">
        <v>4092.98</v>
      </c>
      <c r="H31" s="128">
        <v>10983.5</v>
      </c>
      <c r="I31" s="128">
        <v>15552.73</v>
      </c>
      <c r="J31" s="128">
        <v>19991.54</v>
      </c>
      <c r="K31" s="128">
        <v>21851.33</v>
      </c>
      <c r="L31" s="128">
        <v>17367.7</v>
      </c>
      <c r="M31" s="128">
        <v>2570.34</v>
      </c>
    </row>
    <row r="32" spans="1:13">
      <c r="A32" s="128" t="s">
        <v>59</v>
      </c>
      <c r="B32" s="128">
        <v>21423.54</v>
      </c>
      <c r="C32" s="128">
        <v>11647.21</v>
      </c>
      <c r="D32" s="128">
        <v>14300.73</v>
      </c>
      <c r="E32" s="128">
        <v>2311.2199999999998</v>
      </c>
      <c r="F32" s="128">
        <v>313.08</v>
      </c>
      <c r="G32" s="128">
        <v>1650.34</v>
      </c>
      <c r="H32" s="128">
        <v>5863.49</v>
      </c>
      <c r="I32" s="128">
        <v>3461.26</v>
      </c>
      <c r="J32" s="128">
        <v>4048.52</v>
      </c>
      <c r="K32" s="128">
        <v>9050</v>
      </c>
      <c r="L32" s="128">
        <v>9065.25</v>
      </c>
      <c r="M32" s="128">
        <v>704.24</v>
      </c>
    </row>
    <row r="33" spans="1:13">
      <c r="A33" s="128" t="s">
        <v>264</v>
      </c>
      <c r="B33" s="128">
        <v>29296.19</v>
      </c>
      <c r="C33" s="128">
        <v>21130.35</v>
      </c>
      <c r="D33" s="128">
        <v>24172.13</v>
      </c>
      <c r="E33" s="128">
        <v>4011.81</v>
      </c>
      <c r="F33" s="128">
        <v>3896.65</v>
      </c>
      <c r="G33" s="128">
        <v>2094.96</v>
      </c>
      <c r="H33" s="128">
        <v>3497.74</v>
      </c>
      <c r="I33" s="128">
        <v>3497.74</v>
      </c>
      <c r="J33" s="128">
        <v>4252.41</v>
      </c>
      <c r="K33" s="128">
        <v>10139.11</v>
      </c>
      <c r="L33" s="128">
        <v>10142.31</v>
      </c>
      <c r="M33" s="128">
        <v>12624.37</v>
      </c>
    </row>
    <row r="34" spans="1:13">
      <c r="A34" s="128" t="s">
        <v>60</v>
      </c>
      <c r="B34" s="128">
        <v>584.70000000000005</v>
      </c>
      <c r="C34" s="128">
        <v>629.70000000000005</v>
      </c>
      <c r="D34" s="128">
        <v>494.7</v>
      </c>
      <c r="E34" s="128">
        <v>200</v>
      </c>
      <c r="F34" s="128">
        <v>200</v>
      </c>
      <c r="G34" s="128">
        <v>145</v>
      </c>
      <c r="H34" s="128">
        <v>235</v>
      </c>
      <c r="I34" s="128">
        <v>145</v>
      </c>
      <c r="J34" s="128">
        <v>325</v>
      </c>
      <c r="K34" s="128">
        <v>235</v>
      </c>
      <c r="L34" s="128">
        <v>100</v>
      </c>
      <c r="M34" s="128">
        <v>100</v>
      </c>
    </row>
    <row r="35" spans="1:13">
      <c r="A35" s="128" t="s">
        <v>61</v>
      </c>
      <c r="B35" s="128">
        <v>0</v>
      </c>
      <c r="C35" s="128">
        <v>0</v>
      </c>
      <c r="D35" s="128">
        <v>0</v>
      </c>
      <c r="E35" s="128">
        <v>0</v>
      </c>
      <c r="F35" s="128">
        <v>0</v>
      </c>
      <c r="G35" s="128">
        <v>0</v>
      </c>
      <c r="H35" s="128">
        <v>0</v>
      </c>
      <c r="I35" s="128">
        <v>0</v>
      </c>
      <c r="J35" s="128">
        <v>0</v>
      </c>
      <c r="K35" s="128">
        <v>0</v>
      </c>
      <c r="L35" s="128">
        <v>0</v>
      </c>
      <c r="M35" s="128">
        <v>0</v>
      </c>
    </row>
    <row r="36" spans="1:13">
      <c r="A36" s="128" t="s">
        <v>68</v>
      </c>
      <c r="B36" s="128">
        <v>0</v>
      </c>
      <c r="C36" s="128">
        <v>0</v>
      </c>
      <c r="D36" s="128">
        <v>0</v>
      </c>
      <c r="E36" s="128">
        <v>0</v>
      </c>
      <c r="F36" s="128">
        <v>0</v>
      </c>
      <c r="G36" s="128">
        <v>0</v>
      </c>
      <c r="H36" s="128">
        <v>0</v>
      </c>
      <c r="I36" s="128">
        <v>0</v>
      </c>
      <c r="J36" s="128">
        <v>0</v>
      </c>
      <c r="K36" s="128">
        <v>0</v>
      </c>
      <c r="L36" s="128">
        <v>0</v>
      </c>
      <c r="M36" s="128">
        <v>0</v>
      </c>
    </row>
    <row r="37" spans="1:13">
      <c r="A37" s="128" t="s">
        <v>265</v>
      </c>
      <c r="B37" s="128">
        <v>0</v>
      </c>
      <c r="C37" s="128">
        <v>0</v>
      </c>
      <c r="D37" s="128">
        <v>0</v>
      </c>
      <c r="E37" s="128">
        <v>0</v>
      </c>
      <c r="F37" s="128">
        <v>0</v>
      </c>
      <c r="G37" s="128">
        <v>0</v>
      </c>
      <c r="H37" s="128">
        <v>0</v>
      </c>
      <c r="I37" s="128">
        <v>0</v>
      </c>
      <c r="J37" s="128">
        <v>0</v>
      </c>
      <c r="K37" s="128">
        <v>0</v>
      </c>
      <c r="L37" s="128">
        <v>0</v>
      </c>
      <c r="M37" s="128">
        <v>0</v>
      </c>
    </row>
    <row r="38" spans="1:13">
      <c r="A38" s="128" t="s">
        <v>96</v>
      </c>
      <c r="B38" s="128">
        <v>500.64</v>
      </c>
      <c r="C38" s="128">
        <v>58.82</v>
      </c>
      <c r="D38" s="128">
        <v>63.74</v>
      </c>
      <c r="E38" s="128">
        <v>0</v>
      </c>
      <c r="F38" s="128">
        <v>0</v>
      </c>
      <c r="G38" s="128">
        <v>0</v>
      </c>
      <c r="H38" s="128">
        <v>330.4</v>
      </c>
      <c r="I38" s="128">
        <v>46.6</v>
      </c>
      <c r="J38" s="128">
        <v>55.63</v>
      </c>
      <c r="K38" s="128">
        <v>552.26</v>
      </c>
      <c r="L38" s="128">
        <v>550.53</v>
      </c>
      <c r="M38" s="128">
        <v>651.49</v>
      </c>
    </row>
    <row r="39" spans="1:13">
      <c r="A39" s="128" t="s">
        <v>56</v>
      </c>
      <c r="B39" s="128">
        <v>2101.5</v>
      </c>
      <c r="C39" s="128">
        <v>2020.49</v>
      </c>
      <c r="D39" s="128">
        <v>702.61</v>
      </c>
      <c r="E39" s="128">
        <v>0</v>
      </c>
      <c r="F39" s="128">
        <v>0</v>
      </c>
      <c r="G39" s="128">
        <v>0</v>
      </c>
      <c r="H39" s="128">
        <v>64.81</v>
      </c>
      <c r="I39" s="128">
        <v>288.27</v>
      </c>
      <c r="J39" s="128">
        <v>250.63</v>
      </c>
      <c r="K39" s="128">
        <v>301.55</v>
      </c>
      <c r="L39" s="128">
        <v>238.65</v>
      </c>
      <c r="M39" s="128">
        <v>8.9600000000000009</v>
      </c>
    </row>
    <row r="40" spans="1:13">
      <c r="A40" s="128" t="s">
        <v>64</v>
      </c>
      <c r="B40" s="128">
        <v>1000</v>
      </c>
      <c r="C40" s="128">
        <v>1990</v>
      </c>
      <c r="D40" s="128">
        <v>1000</v>
      </c>
      <c r="E40" s="128">
        <v>198</v>
      </c>
      <c r="F40" s="128">
        <v>0</v>
      </c>
      <c r="G40" s="128">
        <v>0</v>
      </c>
      <c r="H40" s="128">
        <v>0</v>
      </c>
      <c r="I40" s="128">
        <v>0</v>
      </c>
      <c r="J40" s="128">
        <v>1000</v>
      </c>
      <c r="K40" s="128">
        <v>600</v>
      </c>
      <c r="L40" s="128">
        <v>600</v>
      </c>
      <c r="M40" s="128">
        <v>28</v>
      </c>
    </row>
    <row r="41" spans="1:13">
      <c r="A41" s="128" t="s">
        <v>62</v>
      </c>
      <c r="B41" s="128">
        <v>5000</v>
      </c>
      <c r="C41" s="128">
        <v>5000</v>
      </c>
      <c r="D41" s="128">
        <v>5000</v>
      </c>
      <c r="E41" s="128">
        <v>0</v>
      </c>
      <c r="F41" s="128">
        <v>0</v>
      </c>
      <c r="G41" s="128">
        <v>0</v>
      </c>
      <c r="H41" s="128">
        <v>3000</v>
      </c>
      <c r="I41" s="128">
        <v>3000</v>
      </c>
      <c r="J41" s="128">
        <v>3000</v>
      </c>
      <c r="K41" s="128">
        <v>4000</v>
      </c>
      <c r="L41" s="128">
        <v>4000</v>
      </c>
      <c r="M41" s="128">
        <v>0</v>
      </c>
    </row>
    <row r="42" spans="1:13">
      <c r="A42" s="128" t="s">
        <v>267</v>
      </c>
      <c r="B42" s="128">
        <v>0</v>
      </c>
      <c r="C42" s="128">
        <v>0</v>
      </c>
      <c r="D42" s="128">
        <v>4265</v>
      </c>
      <c r="E42" s="128">
        <v>0</v>
      </c>
      <c r="F42" s="128">
        <v>0</v>
      </c>
      <c r="G42" s="128">
        <v>0</v>
      </c>
      <c r="H42" s="128">
        <v>0</v>
      </c>
      <c r="I42" s="128">
        <v>0</v>
      </c>
      <c r="J42" s="128">
        <v>0</v>
      </c>
      <c r="K42" s="128">
        <v>0</v>
      </c>
      <c r="L42" s="128">
        <v>0</v>
      </c>
      <c r="M42" s="128">
        <v>0</v>
      </c>
    </row>
    <row r="43" spans="1:13">
      <c r="A43" s="128" t="s">
        <v>268</v>
      </c>
      <c r="B43" s="128">
        <v>88.21</v>
      </c>
      <c r="C43" s="128">
        <v>47.19</v>
      </c>
      <c r="D43" s="128">
        <v>28.2</v>
      </c>
      <c r="E43" s="128">
        <v>0</v>
      </c>
      <c r="F43" s="128">
        <v>0</v>
      </c>
      <c r="G43" s="128">
        <v>0</v>
      </c>
      <c r="H43" s="128">
        <v>0</v>
      </c>
      <c r="I43" s="128">
        <v>0</v>
      </c>
      <c r="J43" s="128">
        <v>0</v>
      </c>
      <c r="K43" s="128">
        <v>0</v>
      </c>
      <c r="L43" s="128">
        <v>0</v>
      </c>
      <c r="M43" s="128">
        <v>0</v>
      </c>
    </row>
    <row r="44" spans="1:13">
      <c r="A44" s="128" t="s">
        <v>69</v>
      </c>
      <c r="B44" s="128">
        <v>0</v>
      </c>
      <c r="C44" s="128">
        <v>600</v>
      </c>
      <c r="D44" s="128">
        <v>0</v>
      </c>
      <c r="E44" s="128">
        <v>0</v>
      </c>
      <c r="F44" s="128">
        <v>0</v>
      </c>
      <c r="G44" s="128">
        <v>0</v>
      </c>
      <c r="H44" s="128">
        <v>0</v>
      </c>
      <c r="I44" s="128">
        <v>0</v>
      </c>
      <c r="J44" s="128">
        <v>0</v>
      </c>
      <c r="K44" s="128">
        <v>0</v>
      </c>
      <c r="L44" s="128">
        <v>0</v>
      </c>
      <c r="M44" s="128">
        <v>0</v>
      </c>
    </row>
    <row r="45" spans="1:13">
      <c r="A45" s="128" t="s">
        <v>269</v>
      </c>
      <c r="B45" s="128">
        <v>3193.99</v>
      </c>
      <c r="C45" s="128">
        <v>856.38</v>
      </c>
      <c r="D45" s="128">
        <v>1927.85</v>
      </c>
      <c r="E45" s="128">
        <v>-13.85</v>
      </c>
      <c r="F45" s="128">
        <v>-2.72</v>
      </c>
      <c r="G45" s="128">
        <v>0</v>
      </c>
      <c r="H45" s="128">
        <v>4003.54</v>
      </c>
      <c r="I45" s="128">
        <v>13442.39</v>
      </c>
      <c r="J45" s="128">
        <v>18498.189999999999</v>
      </c>
      <c r="K45" s="128">
        <v>23496.74</v>
      </c>
      <c r="L45" s="128">
        <v>14434.24</v>
      </c>
      <c r="M45" s="128">
        <v>4611.0200000000004</v>
      </c>
    </row>
    <row r="46" spans="1:13">
      <c r="A46" s="128" t="s">
        <v>270</v>
      </c>
      <c r="B46" s="128">
        <v>152</v>
      </c>
      <c r="C46" s="128">
        <v>-616.96</v>
      </c>
      <c r="D46" s="128">
        <v>150</v>
      </c>
      <c r="E46" s="128">
        <v>0</v>
      </c>
      <c r="F46" s="128">
        <v>0</v>
      </c>
      <c r="G46" s="128">
        <v>0</v>
      </c>
      <c r="H46" s="128">
        <v>6</v>
      </c>
      <c r="I46" s="128">
        <v>0</v>
      </c>
      <c r="J46" s="128">
        <v>0</v>
      </c>
      <c r="K46" s="128">
        <v>0</v>
      </c>
      <c r="L46" s="128">
        <v>0</v>
      </c>
      <c r="M46" s="128">
        <v>0</v>
      </c>
    </row>
    <row r="47" spans="1:13">
      <c r="A47" s="128" t="s">
        <v>70</v>
      </c>
      <c r="B47" s="128">
        <v>142.30000000000001</v>
      </c>
      <c r="C47" s="128">
        <v>3621.66</v>
      </c>
      <c r="D47" s="128">
        <v>854.3</v>
      </c>
      <c r="E47" s="128">
        <v>0</v>
      </c>
      <c r="F47" s="128">
        <v>0</v>
      </c>
      <c r="G47" s="128">
        <v>399</v>
      </c>
      <c r="H47" s="128">
        <v>1698</v>
      </c>
      <c r="I47" s="128">
        <v>798</v>
      </c>
      <c r="J47" s="128">
        <v>1716.64</v>
      </c>
      <c r="K47" s="128">
        <v>1060.67</v>
      </c>
      <c r="L47" s="128">
        <v>703.45</v>
      </c>
      <c r="M47" s="128">
        <v>-892.55</v>
      </c>
    </row>
    <row r="48" spans="1:13">
      <c r="A48" s="128" t="s">
        <v>271</v>
      </c>
      <c r="B48" s="128">
        <v>0</v>
      </c>
      <c r="C48" s="128">
        <v>1552.3</v>
      </c>
      <c r="D48" s="128">
        <v>0</v>
      </c>
      <c r="E48" s="128">
        <v>0</v>
      </c>
      <c r="F48" s="128">
        <v>0</v>
      </c>
      <c r="G48" s="128">
        <v>0</v>
      </c>
      <c r="H48" s="128">
        <v>0</v>
      </c>
      <c r="I48" s="128">
        <v>0</v>
      </c>
      <c r="J48" s="128">
        <v>0</v>
      </c>
      <c r="K48" s="128">
        <v>400</v>
      </c>
      <c r="L48" s="128">
        <v>900</v>
      </c>
      <c r="M48" s="128">
        <v>0</v>
      </c>
    </row>
    <row r="49" spans="1:13">
      <c r="A49" s="128" t="s">
        <v>71</v>
      </c>
      <c r="B49" s="128">
        <v>12007.02</v>
      </c>
      <c r="C49" s="128">
        <v>9105.4</v>
      </c>
      <c r="D49" s="128">
        <v>4184.49</v>
      </c>
      <c r="E49" s="128">
        <v>0</v>
      </c>
      <c r="F49" s="128">
        <v>0</v>
      </c>
      <c r="G49" s="128">
        <v>0</v>
      </c>
      <c r="H49" s="128">
        <v>0</v>
      </c>
      <c r="I49" s="128">
        <v>0</v>
      </c>
      <c r="J49" s="128">
        <v>0</v>
      </c>
      <c r="K49" s="128">
        <v>208.33</v>
      </c>
      <c r="L49" s="128">
        <v>3331.94</v>
      </c>
      <c r="M49" s="128">
        <v>183.08</v>
      </c>
    </row>
    <row r="50" spans="1:13">
      <c r="A50" s="128" t="s">
        <v>272</v>
      </c>
      <c r="B50" s="128">
        <v>1872.6</v>
      </c>
      <c r="C50" s="128">
        <v>1925.15</v>
      </c>
      <c r="D50" s="128">
        <v>2516.48</v>
      </c>
      <c r="E50" s="128">
        <v>0</v>
      </c>
      <c r="F50" s="128">
        <v>0</v>
      </c>
      <c r="G50" s="128">
        <v>0</v>
      </c>
      <c r="H50" s="128">
        <v>0</v>
      </c>
      <c r="I50" s="128">
        <v>0</v>
      </c>
      <c r="J50" s="128">
        <v>0</v>
      </c>
      <c r="K50" s="128">
        <v>0</v>
      </c>
      <c r="L50" s="128">
        <v>0</v>
      </c>
      <c r="M50" s="128">
        <v>0</v>
      </c>
    </row>
    <row r="51" spans="1:13">
      <c r="A51" s="128" t="s">
        <v>72</v>
      </c>
      <c r="B51" s="128">
        <v>261.02</v>
      </c>
      <c r="C51" s="128">
        <v>0</v>
      </c>
      <c r="D51" s="128">
        <v>227.66</v>
      </c>
      <c r="E51" s="128">
        <v>0</v>
      </c>
      <c r="F51" s="128">
        <v>0</v>
      </c>
      <c r="G51" s="128">
        <v>0</v>
      </c>
      <c r="H51" s="128">
        <v>0</v>
      </c>
      <c r="I51" s="128">
        <v>0</v>
      </c>
      <c r="J51" s="128">
        <v>102.97</v>
      </c>
      <c r="K51" s="128">
        <v>0</v>
      </c>
      <c r="L51" s="128">
        <v>237.13</v>
      </c>
      <c r="M51" s="128">
        <v>14.32</v>
      </c>
    </row>
    <row r="52" spans="1:13">
      <c r="A52" s="128" t="s">
        <v>273</v>
      </c>
      <c r="B52" s="128">
        <v>1214.43</v>
      </c>
      <c r="C52" s="128">
        <v>1836.49</v>
      </c>
      <c r="D52" s="128">
        <v>561</v>
      </c>
      <c r="E52" s="128">
        <v>0</v>
      </c>
      <c r="F52" s="128">
        <v>0</v>
      </c>
      <c r="G52" s="128">
        <v>0</v>
      </c>
      <c r="H52" s="128">
        <v>0</v>
      </c>
      <c r="I52" s="128">
        <v>0</v>
      </c>
      <c r="J52" s="128">
        <v>0</v>
      </c>
      <c r="K52" s="128">
        <v>0</v>
      </c>
      <c r="L52" s="128">
        <v>0</v>
      </c>
      <c r="M52" s="128">
        <v>0</v>
      </c>
    </row>
    <row r="53" spans="1:13">
      <c r="A53" s="128" t="s">
        <v>274</v>
      </c>
      <c r="B53" s="128">
        <v>1222.96</v>
      </c>
      <c r="C53" s="128">
        <v>990.18</v>
      </c>
      <c r="D53" s="128">
        <v>911.41</v>
      </c>
      <c r="E53" s="128">
        <v>0</v>
      </c>
      <c r="F53" s="128">
        <v>0</v>
      </c>
      <c r="G53" s="128">
        <v>8.16</v>
      </c>
      <c r="H53" s="128">
        <v>13.25</v>
      </c>
      <c r="I53" s="128">
        <v>8.5299999999999994</v>
      </c>
      <c r="J53" s="128">
        <v>121.75</v>
      </c>
      <c r="K53" s="128">
        <v>105.81</v>
      </c>
      <c r="L53" s="128">
        <v>145.57</v>
      </c>
      <c r="M53" s="128">
        <v>26.37</v>
      </c>
    </row>
    <row r="54" spans="1:13">
      <c r="A54" s="128" t="s">
        <v>275</v>
      </c>
      <c r="B54" s="128">
        <v>0</v>
      </c>
      <c r="C54" s="128">
        <v>0</v>
      </c>
      <c r="D54" s="128">
        <v>0</v>
      </c>
      <c r="E54" s="128">
        <v>0</v>
      </c>
      <c r="F54" s="128">
        <v>0</v>
      </c>
      <c r="G54" s="128">
        <v>0</v>
      </c>
      <c r="H54" s="128">
        <v>0</v>
      </c>
      <c r="I54" s="128">
        <v>0</v>
      </c>
      <c r="J54" s="128">
        <v>0</v>
      </c>
      <c r="K54" s="128">
        <v>0</v>
      </c>
      <c r="L54" s="128">
        <v>0</v>
      </c>
      <c r="M54" s="128">
        <v>0</v>
      </c>
    </row>
    <row r="55" spans="1:13">
      <c r="A55" s="128" t="s">
        <v>276</v>
      </c>
      <c r="B55" s="128">
        <v>0</v>
      </c>
      <c r="C55" s="128">
        <v>0</v>
      </c>
      <c r="D55" s="128">
        <v>0</v>
      </c>
      <c r="E55" s="128">
        <v>0</v>
      </c>
      <c r="F55" s="128">
        <v>0</v>
      </c>
      <c r="G55" s="128">
        <v>0</v>
      </c>
      <c r="H55" s="128">
        <v>0</v>
      </c>
      <c r="I55" s="128">
        <v>0</v>
      </c>
      <c r="J55" s="128">
        <v>0</v>
      </c>
      <c r="K55" s="128">
        <v>0</v>
      </c>
      <c r="L55" s="128">
        <v>0</v>
      </c>
      <c r="M55" s="128">
        <v>0</v>
      </c>
    </row>
    <row r="56" spans="1:13">
      <c r="A56" s="128" t="s">
        <v>73</v>
      </c>
      <c r="B56" s="128">
        <v>405.47</v>
      </c>
      <c r="C56" s="128">
        <v>-5.0999999999999996</v>
      </c>
      <c r="D56" s="128">
        <v>274.66000000000003</v>
      </c>
      <c r="E56" s="128">
        <v>163.66</v>
      </c>
      <c r="F56" s="128">
        <v>146.78</v>
      </c>
      <c r="G56" s="128">
        <v>167.99</v>
      </c>
      <c r="H56" s="128">
        <v>450.33</v>
      </c>
      <c r="I56" s="128">
        <v>0</v>
      </c>
      <c r="J56" s="128">
        <v>0</v>
      </c>
      <c r="K56" s="128">
        <v>0</v>
      </c>
      <c r="L56" s="128">
        <v>0</v>
      </c>
      <c r="M56" s="128">
        <v>0</v>
      </c>
    </row>
    <row r="57" spans="1:13">
      <c r="A57" s="128" t="s">
        <v>277</v>
      </c>
      <c r="B57" s="128">
        <v>0</v>
      </c>
      <c r="C57" s="128">
        <v>0</v>
      </c>
      <c r="D57" s="128">
        <v>0</v>
      </c>
      <c r="E57" s="128">
        <v>0</v>
      </c>
      <c r="F57" s="128">
        <v>0</v>
      </c>
      <c r="G57" s="128">
        <v>0</v>
      </c>
      <c r="H57" s="128">
        <v>0</v>
      </c>
      <c r="I57" s="128">
        <v>0</v>
      </c>
      <c r="J57" s="128">
        <v>0</v>
      </c>
      <c r="K57" s="128">
        <v>115.26</v>
      </c>
      <c r="L57" s="128">
        <v>0</v>
      </c>
      <c r="M57" s="128">
        <v>0</v>
      </c>
    </row>
    <row r="58" spans="1:13">
      <c r="A58" s="128" t="s">
        <v>74</v>
      </c>
      <c r="B58" s="128">
        <v>85.22</v>
      </c>
      <c r="C58" s="128">
        <v>0</v>
      </c>
      <c r="D58" s="128">
        <v>0</v>
      </c>
      <c r="E58" s="128">
        <v>0</v>
      </c>
      <c r="F58" s="128">
        <v>0</v>
      </c>
      <c r="G58" s="128">
        <v>0</v>
      </c>
      <c r="H58" s="128">
        <v>0</v>
      </c>
      <c r="I58" s="128">
        <v>0</v>
      </c>
      <c r="J58" s="128">
        <v>0</v>
      </c>
      <c r="K58" s="128">
        <v>0</v>
      </c>
      <c r="L58" s="128">
        <v>0</v>
      </c>
      <c r="M58" s="128">
        <v>0</v>
      </c>
    </row>
    <row r="59" spans="1:13">
      <c r="A59" s="128" t="s">
        <v>75</v>
      </c>
      <c r="B59" s="128">
        <v>9158.2000000000007</v>
      </c>
      <c r="C59" s="128">
        <v>7576.82</v>
      </c>
      <c r="D59" s="128">
        <v>4944.49</v>
      </c>
      <c r="E59" s="128">
        <v>0</v>
      </c>
      <c r="F59" s="128">
        <v>0</v>
      </c>
      <c r="G59" s="128">
        <v>0</v>
      </c>
      <c r="H59" s="128">
        <v>457.66</v>
      </c>
      <c r="I59" s="128">
        <v>743.24</v>
      </c>
      <c r="J59" s="128">
        <v>1295.29</v>
      </c>
      <c r="K59" s="128">
        <v>1205.48</v>
      </c>
      <c r="L59" s="128">
        <v>431.36</v>
      </c>
      <c r="M59" s="128">
        <v>230.12</v>
      </c>
    </row>
    <row r="60" spans="1:13">
      <c r="A60" s="128" t="s">
        <v>278</v>
      </c>
      <c r="B60" s="128">
        <v>18569.93</v>
      </c>
      <c r="C60" s="128">
        <v>14189.96</v>
      </c>
      <c r="D60" s="128">
        <v>6698.76</v>
      </c>
      <c r="E60" s="128">
        <v>1721.35</v>
      </c>
      <c r="F60" s="128">
        <v>2020.87</v>
      </c>
      <c r="G60" s="128">
        <v>1692.87</v>
      </c>
      <c r="H60" s="128">
        <v>8208.75</v>
      </c>
      <c r="I60" s="128">
        <v>20494.759999999998</v>
      </c>
      <c r="J60" s="128">
        <v>8314.69</v>
      </c>
      <c r="K60" s="128">
        <v>10112.620000000001</v>
      </c>
      <c r="L60" s="128">
        <v>11507.24</v>
      </c>
      <c r="M60" s="128">
        <v>9946.67</v>
      </c>
    </row>
    <row r="61" spans="1:13">
      <c r="A61" s="128" t="s">
        <v>76</v>
      </c>
      <c r="B61" s="128">
        <v>1255</v>
      </c>
      <c r="C61" s="128">
        <v>882</v>
      </c>
      <c r="D61" s="128">
        <v>1186</v>
      </c>
      <c r="E61" s="128">
        <v>524</v>
      </c>
      <c r="F61" s="128">
        <v>524</v>
      </c>
      <c r="G61" s="128">
        <v>662</v>
      </c>
      <c r="H61" s="128">
        <v>908</v>
      </c>
      <c r="I61" s="128">
        <v>660.5</v>
      </c>
      <c r="J61" s="128">
        <v>247.5</v>
      </c>
      <c r="K61" s="128">
        <v>249</v>
      </c>
      <c r="L61" s="128">
        <v>249</v>
      </c>
      <c r="M61" s="128">
        <v>468.5</v>
      </c>
    </row>
    <row r="62" spans="1:13">
      <c r="A62" s="128" t="s">
        <v>279</v>
      </c>
      <c r="B62" s="128">
        <v>2066.4699999999998</v>
      </c>
      <c r="C62" s="128">
        <v>1628.61</v>
      </c>
      <c r="D62" s="128">
        <v>1773.74</v>
      </c>
      <c r="E62" s="128">
        <v>202.24</v>
      </c>
      <c r="F62" s="128">
        <v>-562</v>
      </c>
      <c r="G62" s="128">
        <v>202.5</v>
      </c>
      <c r="H62" s="128">
        <v>0</v>
      </c>
      <c r="I62" s="128">
        <v>662.14</v>
      </c>
      <c r="J62" s="128">
        <v>742.56</v>
      </c>
      <c r="K62" s="128">
        <v>1392.68</v>
      </c>
      <c r="L62" s="128">
        <v>1922.63</v>
      </c>
      <c r="M62" s="128">
        <v>620.08000000000004</v>
      </c>
    </row>
    <row r="63" spans="1:13">
      <c r="A63" s="128" t="s">
        <v>280</v>
      </c>
      <c r="B63" s="128">
        <v>7160.01</v>
      </c>
      <c r="C63" s="128">
        <v>2647.92</v>
      </c>
      <c r="D63" s="128">
        <v>1078.0899999999999</v>
      </c>
      <c r="E63" s="128">
        <v>95.24</v>
      </c>
      <c r="F63" s="128">
        <v>116.23</v>
      </c>
      <c r="G63" s="128">
        <v>0</v>
      </c>
      <c r="H63" s="128">
        <v>1363.9</v>
      </c>
      <c r="I63" s="128">
        <v>2625.64</v>
      </c>
      <c r="J63" s="128">
        <v>2371.94</v>
      </c>
      <c r="K63" s="128">
        <v>2391.13</v>
      </c>
      <c r="L63" s="128">
        <v>1040.28</v>
      </c>
      <c r="M63" s="128">
        <v>336.45</v>
      </c>
    </row>
    <row r="64" spans="1:13">
      <c r="A64" s="128" t="s">
        <v>282</v>
      </c>
      <c r="B64" s="128">
        <v>9724.2800000000007</v>
      </c>
      <c r="C64" s="128">
        <v>4354.07</v>
      </c>
      <c r="D64" s="128">
        <v>1553.42</v>
      </c>
      <c r="E64" s="128">
        <v>1121.93</v>
      </c>
      <c r="F64" s="128">
        <v>0</v>
      </c>
      <c r="G64" s="128">
        <v>135</v>
      </c>
      <c r="H64" s="128">
        <v>1592.08</v>
      </c>
      <c r="I64" s="128">
        <v>4327.3900000000003</v>
      </c>
      <c r="J64" s="128">
        <v>7606.56</v>
      </c>
      <c r="K64" s="128">
        <v>12045.05</v>
      </c>
      <c r="L64" s="128">
        <v>4311.88</v>
      </c>
      <c r="M64" s="128">
        <v>1293.55</v>
      </c>
    </row>
    <row r="65" spans="1:13">
      <c r="A65" s="128" t="s">
        <v>281</v>
      </c>
      <c r="B65" s="128">
        <v>7021.93</v>
      </c>
      <c r="C65" s="128">
        <v>6601.99</v>
      </c>
      <c r="D65" s="128">
        <v>3293.29</v>
      </c>
      <c r="E65" s="128">
        <v>54.75</v>
      </c>
      <c r="F65" s="128">
        <v>473.81</v>
      </c>
      <c r="G65" s="128">
        <v>251.76</v>
      </c>
      <c r="H65" s="128">
        <v>3637.01</v>
      </c>
      <c r="I65" s="128">
        <v>610.16</v>
      </c>
      <c r="J65" s="128">
        <v>2775.13</v>
      </c>
      <c r="K65" s="128">
        <v>6329.5</v>
      </c>
      <c r="L65" s="128">
        <v>2115.7800000000002</v>
      </c>
      <c r="M65" s="128">
        <v>73.540000000000006</v>
      </c>
    </row>
    <row r="66" spans="1:13">
      <c r="A66" s="128" t="s">
        <v>283</v>
      </c>
      <c r="B66" s="128">
        <v>0</v>
      </c>
      <c r="C66" s="128">
        <v>0</v>
      </c>
      <c r="D66" s="128">
        <v>0</v>
      </c>
      <c r="E66" s="128">
        <v>0</v>
      </c>
      <c r="F66" s="128">
        <v>0</v>
      </c>
      <c r="G66" s="128">
        <v>0</v>
      </c>
      <c r="H66" s="128">
        <v>0</v>
      </c>
      <c r="I66" s="128">
        <v>0</v>
      </c>
      <c r="J66" s="128">
        <v>0</v>
      </c>
      <c r="K66" s="128">
        <v>0</v>
      </c>
      <c r="L66" s="128">
        <v>394.86</v>
      </c>
      <c r="M66" s="128">
        <v>0</v>
      </c>
    </row>
    <row r="67" spans="1:13">
      <c r="A67" s="128" t="s">
        <v>284</v>
      </c>
      <c r="B67" s="128">
        <v>0</v>
      </c>
      <c r="C67" s="128">
        <v>0</v>
      </c>
      <c r="D67" s="128">
        <v>0</v>
      </c>
      <c r="E67" s="128">
        <v>0</v>
      </c>
      <c r="F67" s="128">
        <v>0</v>
      </c>
      <c r="G67" s="128">
        <v>0</v>
      </c>
      <c r="H67" s="128">
        <v>0</v>
      </c>
      <c r="I67" s="128">
        <v>0</v>
      </c>
      <c r="J67" s="128">
        <v>0</v>
      </c>
      <c r="K67" s="128">
        <v>0</v>
      </c>
      <c r="L67" s="128">
        <v>0</v>
      </c>
      <c r="M67" s="128">
        <v>0</v>
      </c>
    </row>
    <row r="68" spans="1:13">
      <c r="A68" s="128" t="s">
        <v>285</v>
      </c>
      <c r="B68" s="128">
        <v>0</v>
      </c>
      <c r="C68" s="128">
        <v>0</v>
      </c>
      <c r="D68" s="128">
        <v>0</v>
      </c>
      <c r="E68" s="128">
        <v>0</v>
      </c>
      <c r="F68" s="128">
        <v>0</v>
      </c>
      <c r="G68" s="128">
        <v>0</v>
      </c>
      <c r="H68" s="128">
        <v>0</v>
      </c>
      <c r="I68" s="128">
        <v>0</v>
      </c>
      <c r="J68" s="128">
        <v>0</v>
      </c>
      <c r="K68" s="128">
        <v>1044.99</v>
      </c>
      <c r="L68" s="128">
        <v>0</v>
      </c>
      <c r="M68" s="128">
        <v>0</v>
      </c>
    </row>
    <row r="69" spans="1:13">
      <c r="A69" s="128" t="s">
        <v>286</v>
      </c>
      <c r="B69" s="128">
        <v>362.47</v>
      </c>
      <c r="C69" s="128">
        <v>79.28</v>
      </c>
      <c r="D69" s="128">
        <v>76.14</v>
      </c>
      <c r="E69" s="128">
        <v>0</v>
      </c>
      <c r="F69" s="128">
        <v>0</v>
      </c>
      <c r="G69" s="128">
        <v>0</v>
      </c>
      <c r="H69" s="128">
        <v>0</v>
      </c>
      <c r="I69" s="128">
        <v>0</v>
      </c>
      <c r="J69" s="128">
        <v>142.18</v>
      </c>
      <c r="K69" s="128">
        <v>0</v>
      </c>
      <c r="L69" s="128">
        <v>0</v>
      </c>
      <c r="M69" s="128">
        <v>0</v>
      </c>
    </row>
    <row r="70" spans="1:13">
      <c r="A70" s="128" t="s">
        <v>287</v>
      </c>
      <c r="B70" s="128">
        <v>105.12</v>
      </c>
      <c r="C70" s="128">
        <v>105.13</v>
      </c>
      <c r="D70" s="128">
        <v>52.78</v>
      </c>
      <c r="E70" s="128">
        <v>26.39</v>
      </c>
      <c r="F70" s="128">
        <v>26.39</v>
      </c>
      <c r="G70" s="128">
        <v>26.39</v>
      </c>
      <c r="H70" s="128">
        <v>209.68</v>
      </c>
      <c r="I70" s="128">
        <v>43</v>
      </c>
      <c r="J70" s="128">
        <v>95.84</v>
      </c>
      <c r="K70" s="128">
        <v>95.84</v>
      </c>
      <c r="L70" s="128">
        <v>47.92</v>
      </c>
      <c r="M70" s="128">
        <v>35.94</v>
      </c>
    </row>
    <row r="71" spans="1:13">
      <c r="A71" s="128" t="s">
        <v>288</v>
      </c>
      <c r="B71" s="128">
        <v>1600</v>
      </c>
      <c r="C71" s="128">
        <v>1600</v>
      </c>
      <c r="D71" s="128">
        <v>1600</v>
      </c>
      <c r="E71" s="128">
        <v>0</v>
      </c>
      <c r="F71" s="128">
        <v>0</v>
      </c>
      <c r="G71" s="128">
        <v>0</v>
      </c>
      <c r="H71" s="128">
        <v>1143.75</v>
      </c>
      <c r="I71" s="128">
        <v>650</v>
      </c>
      <c r="J71" s="128">
        <v>650</v>
      </c>
      <c r="K71" s="128">
        <v>3140</v>
      </c>
      <c r="L71" s="128">
        <v>-920</v>
      </c>
      <c r="M71" s="128">
        <v>787.5</v>
      </c>
    </row>
    <row r="72" spans="1:13">
      <c r="A72" s="128" t="s">
        <v>63</v>
      </c>
      <c r="B72" s="128">
        <v>25.13</v>
      </c>
      <c r="C72" s="128">
        <v>1035.25</v>
      </c>
      <c r="D72" s="128">
        <v>570.37</v>
      </c>
      <c r="E72" s="128">
        <v>891.43</v>
      </c>
      <c r="F72" s="128">
        <v>-891.43</v>
      </c>
      <c r="G72" s="128">
        <v>0</v>
      </c>
      <c r="H72" s="128">
        <v>1186.5899999999999</v>
      </c>
      <c r="I72" s="128">
        <v>298.98</v>
      </c>
      <c r="J72" s="128">
        <v>49.7</v>
      </c>
      <c r="K72" s="128">
        <v>841.92</v>
      </c>
      <c r="L72" s="128">
        <v>116.58</v>
      </c>
      <c r="M72" s="128">
        <v>22.98</v>
      </c>
    </row>
    <row r="73" spans="1:13">
      <c r="A73" s="128" t="s">
        <v>289</v>
      </c>
      <c r="B73" s="128">
        <v>0</v>
      </c>
      <c r="C73" s="128">
        <v>0</v>
      </c>
      <c r="D73" s="128">
        <v>0</v>
      </c>
      <c r="E73" s="128">
        <v>0</v>
      </c>
      <c r="F73" s="128">
        <v>0</v>
      </c>
      <c r="G73" s="128">
        <v>0</v>
      </c>
      <c r="H73" s="128">
        <v>551.36</v>
      </c>
      <c r="I73" s="128">
        <v>0</v>
      </c>
      <c r="J73" s="128">
        <v>0</v>
      </c>
      <c r="K73" s="128">
        <v>0</v>
      </c>
      <c r="L73" s="128">
        <v>0</v>
      </c>
      <c r="M73" s="128">
        <v>0</v>
      </c>
    </row>
    <row r="74" spans="1:13">
      <c r="A74" s="128" t="s">
        <v>77</v>
      </c>
      <c r="B74" s="128">
        <v>536.11</v>
      </c>
      <c r="C74" s="128">
        <v>7109.25</v>
      </c>
      <c r="D74" s="128">
        <v>985.21</v>
      </c>
      <c r="E74" s="128">
        <v>1945.06</v>
      </c>
      <c r="F74" s="128">
        <v>1351.46</v>
      </c>
      <c r="G74" s="128">
        <v>1272.51</v>
      </c>
      <c r="H74" s="128">
        <v>7934.63</v>
      </c>
      <c r="I74" s="128">
        <v>344.17</v>
      </c>
      <c r="J74" s="128">
        <v>741.32</v>
      </c>
      <c r="K74" s="128">
        <v>836.67</v>
      </c>
      <c r="L74" s="128">
        <v>1475.77</v>
      </c>
      <c r="M74" s="128">
        <v>-1932.31</v>
      </c>
    </row>
    <row r="75" spans="1:13">
      <c r="A75" s="128" t="s">
        <v>78</v>
      </c>
      <c r="B75" s="128">
        <v>2427.63</v>
      </c>
      <c r="C75" s="128">
        <v>2427.63</v>
      </c>
      <c r="D75" s="128">
        <v>2427.63</v>
      </c>
      <c r="E75" s="128">
        <v>2427.63</v>
      </c>
      <c r="F75" s="128">
        <v>2427.63</v>
      </c>
      <c r="G75" s="128">
        <v>2427.63</v>
      </c>
      <c r="H75" s="128">
        <v>2427.63</v>
      </c>
      <c r="I75" s="128">
        <v>2473.35</v>
      </c>
      <c r="J75" s="128">
        <v>2601.73</v>
      </c>
      <c r="K75" s="128">
        <v>2427.63</v>
      </c>
      <c r="L75" s="128">
        <v>2427.63</v>
      </c>
      <c r="M75" s="128">
        <v>2427.63</v>
      </c>
    </row>
    <row r="76" spans="1:13">
      <c r="A76" s="3" t="s">
        <v>452</v>
      </c>
      <c r="B76" s="128">
        <v>0</v>
      </c>
      <c r="C76" s="128">
        <v>0</v>
      </c>
      <c r="D76" s="128">
        <v>0</v>
      </c>
      <c r="E76" s="128">
        <v>0</v>
      </c>
      <c r="F76" s="128">
        <v>145.83000000000001</v>
      </c>
      <c r="G76" s="128">
        <v>145.83000000000001</v>
      </c>
      <c r="H76" s="128">
        <v>145.83000000000001</v>
      </c>
      <c r="I76" s="128">
        <v>145.83000000000001</v>
      </c>
      <c r="J76" s="128">
        <v>145.83000000000001</v>
      </c>
      <c r="K76" s="128">
        <v>145.83000000000001</v>
      </c>
      <c r="L76" s="128">
        <v>145.83000000000001</v>
      </c>
      <c r="M76" s="128">
        <v>145.83000000000001</v>
      </c>
    </row>
    <row r="77" spans="1:13">
      <c r="A77" s="128" t="s">
        <v>80</v>
      </c>
      <c r="B77" s="128">
        <v>0</v>
      </c>
      <c r="C77" s="128">
        <v>0</v>
      </c>
      <c r="D77" s="128">
        <v>0</v>
      </c>
      <c r="E77" s="128">
        <v>0</v>
      </c>
      <c r="F77" s="128">
        <v>0</v>
      </c>
      <c r="G77" s="128">
        <v>0</v>
      </c>
      <c r="H77" s="128">
        <v>0</v>
      </c>
      <c r="I77" s="128">
        <v>0</v>
      </c>
      <c r="J77" s="128">
        <v>0</v>
      </c>
      <c r="K77" s="128">
        <v>0</v>
      </c>
      <c r="L77" s="128">
        <v>0</v>
      </c>
      <c r="M77" s="128">
        <v>0</v>
      </c>
    </row>
    <row r="78" spans="1:13">
      <c r="A78" s="128" t="s">
        <v>290</v>
      </c>
      <c r="B78" s="128">
        <v>449.18</v>
      </c>
      <c r="C78" s="128">
        <v>0</v>
      </c>
      <c r="D78" s="128">
        <v>0</v>
      </c>
      <c r="E78" s="128">
        <v>0</v>
      </c>
      <c r="F78" s="128">
        <v>0</v>
      </c>
      <c r="G78" s="128">
        <v>0</v>
      </c>
      <c r="H78" s="128">
        <v>1136.07</v>
      </c>
      <c r="I78" s="128">
        <v>0</v>
      </c>
      <c r="J78" s="128">
        <v>0</v>
      </c>
      <c r="K78" s="128">
        <v>0</v>
      </c>
      <c r="L78" s="128">
        <v>0</v>
      </c>
      <c r="M78" s="128">
        <v>0</v>
      </c>
    </row>
    <row r="79" spans="1:13">
      <c r="A79" s="128" t="s">
        <v>79</v>
      </c>
      <c r="B79" s="128">
        <v>0</v>
      </c>
      <c r="C79" s="128">
        <v>2300</v>
      </c>
      <c r="D79" s="128">
        <v>1386.07</v>
      </c>
      <c r="E79" s="128">
        <v>0</v>
      </c>
      <c r="F79" s="128">
        <v>0</v>
      </c>
      <c r="G79" s="128">
        <v>0</v>
      </c>
      <c r="H79" s="128">
        <v>503.68</v>
      </c>
      <c r="I79" s="128">
        <v>215.26</v>
      </c>
      <c r="J79" s="128">
        <v>378.01</v>
      </c>
      <c r="K79" s="128">
        <v>433.99</v>
      </c>
      <c r="L79" s="128">
        <v>969.31</v>
      </c>
      <c r="M79" s="128">
        <v>0</v>
      </c>
    </row>
    <row r="80" spans="1:13">
      <c r="A80" s="128" t="s">
        <v>291</v>
      </c>
      <c r="B80" s="128">
        <v>341.25</v>
      </c>
      <c r="C80" s="128">
        <v>341.25</v>
      </c>
      <c r="D80" s="128">
        <v>341.25</v>
      </c>
      <c r="E80" s="128">
        <v>170.63</v>
      </c>
      <c r="F80" s="128">
        <v>170.63</v>
      </c>
      <c r="G80" s="128">
        <v>170.63</v>
      </c>
      <c r="H80" s="128">
        <v>341.25</v>
      </c>
      <c r="I80" s="128">
        <v>472.5</v>
      </c>
      <c r="J80" s="128">
        <v>472.5</v>
      </c>
      <c r="K80" s="128">
        <v>472.5</v>
      </c>
      <c r="L80" s="128">
        <v>472.5</v>
      </c>
      <c r="M80" s="128">
        <v>945</v>
      </c>
    </row>
    <row r="81" spans="1:13">
      <c r="A81" s="128" t="s">
        <v>292</v>
      </c>
      <c r="B81" s="128">
        <v>5027.3100000000004</v>
      </c>
      <c r="C81" s="128">
        <v>4702.97</v>
      </c>
      <c r="D81" s="128">
        <v>3081.26</v>
      </c>
      <c r="E81" s="128">
        <v>0</v>
      </c>
      <c r="F81" s="128">
        <v>0</v>
      </c>
      <c r="G81" s="128">
        <v>0</v>
      </c>
      <c r="H81" s="128">
        <v>385.16</v>
      </c>
      <c r="I81" s="128">
        <v>5144</v>
      </c>
      <c r="J81" s="128">
        <v>4294.62</v>
      </c>
      <c r="K81" s="128">
        <v>4793.22</v>
      </c>
      <c r="L81" s="128">
        <v>4638.6000000000004</v>
      </c>
      <c r="M81" s="128">
        <v>4793.22</v>
      </c>
    </row>
    <row r="82" spans="1:13">
      <c r="A82" s="128" t="s">
        <v>65</v>
      </c>
      <c r="B82" s="128">
        <v>0</v>
      </c>
      <c r="C82" s="128">
        <v>2000</v>
      </c>
      <c r="D82" s="128">
        <v>0</v>
      </c>
      <c r="E82" s="128">
        <v>0</v>
      </c>
      <c r="F82" s="128">
        <v>0</v>
      </c>
      <c r="G82" s="128">
        <v>0</v>
      </c>
      <c r="H82" s="128">
        <v>0</v>
      </c>
      <c r="I82" s="128">
        <v>0</v>
      </c>
      <c r="J82" s="128">
        <v>0</v>
      </c>
      <c r="K82" s="128">
        <v>0</v>
      </c>
      <c r="L82" s="128">
        <v>0</v>
      </c>
      <c r="M82" s="128">
        <v>0</v>
      </c>
    </row>
    <row r="83" spans="1:13">
      <c r="A83" s="128" t="s">
        <v>293</v>
      </c>
      <c r="B83" s="128">
        <v>0</v>
      </c>
      <c r="C83" s="128">
        <v>0</v>
      </c>
      <c r="D83" s="128">
        <v>0</v>
      </c>
      <c r="E83" s="128">
        <v>0</v>
      </c>
      <c r="F83" s="128">
        <v>0</v>
      </c>
      <c r="G83" s="128">
        <v>0</v>
      </c>
      <c r="H83" s="128">
        <v>0</v>
      </c>
      <c r="I83" s="128">
        <v>0</v>
      </c>
      <c r="J83" s="128">
        <v>0</v>
      </c>
      <c r="K83" s="128">
        <v>0</v>
      </c>
      <c r="L83" s="128">
        <v>0</v>
      </c>
      <c r="M83" s="128">
        <v>0</v>
      </c>
    </row>
    <row r="84" spans="1:13">
      <c r="A84" s="128" t="s">
        <v>66</v>
      </c>
      <c r="B84" s="128">
        <v>0</v>
      </c>
      <c r="C84" s="128">
        <v>0</v>
      </c>
      <c r="D84" s="128">
        <v>0</v>
      </c>
      <c r="E84" s="128">
        <v>0</v>
      </c>
      <c r="F84" s="128">
        <v>0</v>
      </c>
      <c r="G84" s="128">
        <v>0</v>
      </c>
      <c r="H84" s="128">
        <v>0</v>
      </c>
      <c r="I84" s="128">
        <v>0</v>
      </c>
      <c r="J84" s="128">
        <v>0</v>
      </c>
      <c r="K84" s="128">
        <v>0</v>
      </c>
      <c r="L84" s="128">
        <v>0</v>
      </c>
      <c r="M84" s="128">
        <v>0</v>
      </c>
    </row>
    <row r="85" spans="1:13">
      <c r="A85" s="128" t="s">
        <v>81</v>
      </c>
      <c r="B85" s="128">
        <v>0</v>
      </c>
      <c r="C85" s="128">
        <v>453.5</v>
      </c>
      <c r="D85" s="128">
        <v>1318.22</v>
      </c>
      <c r="E85" s="128">
        <v>0</v>
      </c>
      <c r="F85" s="128">
        <v>0</v>
      </c>
      <c r="G85" s="128">
        <v>0</v>
      </c>
      <c r="H85" s="128">
        <v>0</v>
      </c>
      <c r="I85" s="128">
        <v>0</v>
      </c>
      <c r="J85" s="128">
        <v>0</v>
      </c>
      <c r="K85" s="128">
        <v>0</v>
      </c>
      <c r="L85" s="128">
        <v>0</v>
      </c>
      <c r="M85" s="128">
        <v>0</v>
      </c>
    </row>
    <row r="86" spans="1:13">
      <c r="A86" s="128" t="s">
        <v>82</v>
      </c>
      <c r="B86" s="128">
        <v>5000</v>
      </c>
      <c r="C86" s="128">
        <v>5000</v>
      </c>
      <c r="D86" s="128">
        <v>5000</v>
      </c>
      <c r="E86" s="128">
        <v>5000</v>
      </c>
      <c r="F86" s="128">
        <v>5000</v>
      </c>
      <c r="G86" s="128">
        <v>5000</v>
      </c>
      <c r="H86" s="128">
        <v>5000</v>
      </c>
      <c r="I86" s="128">
        <v>5000</v>
      </c>
      <c r="J86" s="128">
        <v>5310.5</v>
      </c>
      <c r="K86" s="128">
        <v>5600</v>
      </c>
      <c r="L86" s="128">
        <v>5000</v>
      </c>
      <c r="M86" s="128">
        <v>5300</v>
      </c>
    </row>
    <row r="87" spans="1:13">
      <c r="A87" s="128" t="s">
        <v>83</v>
      </c>
      <c r="B87" s="128">
        <v>2046.02</v>
      </c>
      <c r="C87" s="128">
        <v>2991.87</v>
      </c>
      <c r="D87" s="128">
        <v>0</v>
      </c>
      <c r="E87" s="128">
        <v>946.92</v>
      </c>
      <c r="F87" s="128">
        <v>621.12</v>
      </c>
      <c r="G87" s="128">
        <v>659.6</v>
      </c>
      <c r="H87" s="128">
        <v>779.42</v>
      </c>
      <c r="I87" s="128">
        <v>779.32</v>
      </c>
      <c r="J87" s="128">
        <v>706.7</v>
      </c>
      <c r="K87" s="128">
        <v>839.52</v>
      </c>
      <c r="L87" s="128">
        <v>1061.52</v>
      </c>
      <c r="M87" s="128">
        <v>1178.7</v>
      </c>
    </row>
    <row r="88" spans="1:13">
      <c r="A88" s="128" t="s">
        <v>84</v>
      </c>
      <c r="B88" s="128">
        <v>5582.96</v>
      </c>
      <c r="C88" s="128">
        <v>10790.45</v>
      </c>
      <c r="D88" s="128">
        <v>3761.52</v>
      </c>
      <c r="E88" s="128">
        <v>0</v>
      </c>
      <c r="F88" s="128">
        <v>0</v>
      </c>
      <c r="G88" s="128">
        <v>0</v>
      </c>
      <c r="H88" s="128">
        <v>417.6</v>
      </c>
      <c r="I88" s="128">
        <v>1512.31</v>
      </c>
      <c r="J88" s="128">
        <v>975.13</v>
      </c>
      <c r="K88" s="128">
        <v>850.64</v>
      </c>
      <c r="L88" s="128">
        <v>482.07</v>
      </c>
      <c r="M88" s="128">
        <v>644.04999999999995</v>
      </c>
    </row>
    <row r="89" spans="1:13">
      <c r="A89" s="128" t="s">
        <v>67</v>
      </c>
      <c r="B89" s="128">
        <v>43.47</v>
      </c>
      <c r="C89" s="128">
        <v>90.21</v>
      </c>
      <c r="D89" s="128">
        <v>57.08</v>
      </c>
      <c r="E89" s="128">
        <v>223.6</v>
      </c>
      <c r="F89" s="128">
        <v>101.36</v>
      </c>
      <c r="G89" s="128">
        <v>286.39</v>
      </c>
      <c r="H89" s="128">
        <v>42.27</v>
      </c>
      <c r="I89" s="128">
        <v>42.21</v>
      </c>
      <c r="J89" s="128">
        <v>35.19</v>
      </c>
      <c r="K89" s="128">
        <v>48.96</v>
      </c>
      <c r="L89" s="128">
        <v>146.94</v>
      </c>
      <c r="M89" s="128">
        <v>51.87</v>
      </c>
    </row>
    <row r="90" spans="1:13">
      <c r="A90" s="128" t="s">
        <v>294</v>
      </c>
      <c r="B90" s="128">
        <v>0</v>
      </c>
      <c r="C90" s="128">
        <v>0</v>
      </c>
      <c r="D90" s="128">
        <v>0</v>
      </c>
      <c r="E90" s="128">
        <v>0</v>
      </c>
      <c r="F90" s="128">
        <v>0</v>
      </c>
      <c r="G90" s="128">
        <v>0</v>
      </c>
      <c r="H90" s="128">
        <v>0</v>
      </c>
      <c r="I90" s="128">
        <v>0</v>
      </c>
      <c r="J90" s="128">
        <v>0</v>
      </c>
      <c r="K90" s="128">
        <v>0</v>
      </c>
      <c r="L90" s="128">
        <v>0</v>
      </c>
      <c r="M90" s="128">
        <v>0</v>
      </c>
    </row>
    <row r="91" spans="1:13">
      <c r="A91" s="128" t="s">
        <v>295</v>
      </c>
      <c r="B91" s="128">
        <v>0</v>
      </c>
      <c r="C91" s="128">
        <v>0</v>
      </c>
      <c r="D91" s="128">
        <v>0</v>
      </c>
      <c r="E91" s="128">
        <v>0</v>
      </c>
      <c r="F91" s="128">
        <v>0</v>
      </c>
      <c r="G91" s="128">
        <v>0</v>
      </c>
      <c r="H91" s="128">
        <v>0</v>
      </c>
      <c r="I91" s="128">
        <v>0</v>
      </c>
      <c r="J91" s="128">
        <v>0</v>
      </c>
      <c r="K91" s="128">
        <v>0</v>
      </c>
      <c r="L91" s="128">
        <v>0</v>
      </c>
      <c r="M91" s="128">
        <v>0</v>
      </c>
    </row>
    <row r="92" spans="1:13">
      <c r="A92" s="128" t="s">
        <v>296</v>
      </c>
      <c r="B92" s="128">
        <v>0</v>
      </c>
      <c r="C92" s="128">
        <v>0</v>
      </c>
      <c r="D92" s="128">
        <v>0</v>
      </c>
      <c r="E92" s="128">
        <v>0</v>
      </c>
      <c r="F92" s="128">
        <v>0</v>
      </c>
      <c r="G92" s="128">
        <v>0</v>
      </c>
      <c r="H92" s="128">
        <v>0</v>
      </c>
      <c r="I92" s="128">
        <v>0</v>
      </c>
      <c r="J92" s="128">
        <v>0</v>
      </c>
      <c r="K92" s="128">
        <v>0</v>
      </c>
      <c r="L92" s="128">
        <v>0</v>
      </c>
      <c r="M92" s="128">
        <v>0</v>
      </c>
    </row>
    <row r="93" spans="1:13">
      <c r="A93" s="3" t="s">
        <v>445</v>
      </c>
      <c r="B93" s="128">
        <v>2326.5</v>
      </c>
      <c r="C93" s="128">
        <v>5189.95</v>
      </c>
      <c r="D93" s="128">
        <v>5073.95</v>
      </c>
      <c r="E93" s="128">
        <v>0</v>
      </c>
      <c r="F93" s="128">
        <v>0</v>
      </c>
      <c r="G93" s="128">
        <v>0</v>
      </c>
      <c r="H93" s="128">
        <v>0</v>
      </c>
      <c r="I93" s="128">
        <v>0</v>
      </c>
      <c r="J93" s="128">
        <v>0</v>
      </c>
      <c r="K93" s="128">
        <v>0</v>
      </c>
      <c r="L93" s="128">
        <v>0</v>
      </c>
      <c r="M93" s="128">
        <v>0</v>
      </c>
    </row>
    <row r="94" spans="1:13" s="162" customFormat="1">
      <c r="A94" s="161" t="s">
        <v>297</v>
      </c>
      <c r="B94" s="128">
        <v>4915.6000000000004</v>
      </c>
      <c r="C94" s="128">
        <v>4598.45</v>
      </c>
      <c r="D94" s="128">
        <v>3012.83</v>
      </c>
      <c r="E94" s="128">
        <v>0</v>
      </c>
      <c r="F94" s="128">
        <v>4915.59</v>
      </c>
      <c r="G94" s="128">
        <v>4757.0200000000004</v>
      </c>
      <c r="H94" s="128">
        <v>4757.03</v>
      </c>
      <c r="I94" s="128">
        <v>14250</v>
      </c>
      <c r="J94" s="128">
        <v>14250</v>
      </c>
      <c r="K94" s="128">
        <v>14250</v>
      </c>
      <c r="L94" s="128">
        <v>14250</v>
      </c>
      <c r="M94" s="128">
        <v>14250</v>
      </c>
    </row>
    <row r="95" spans="1:13">
      <c r="A95" s="128" t="s">
        <v>298</v>
      </c>
      <c r="B95" s="128">
        <v>2000</v>
      </c>
      <c r="C95" s="128">
        <v>0</v>
      </c>
      <c r="D95" s="128">
        <v>0</v>
      </c>
      <c r="E95" s="128">
        <v>0</v>
      </c>
      <c r="F95" s="128">
        <v>0</v>
      </c>
      <c r="G95" s="128">
        <v>0</v>
      </c>
      <c r="H95" s="128">
        <v>6.71</v>
      </c>
      <c r="I95" s="128">
        <v>6.71</v>
      </c>
      <c r="J95" s="128">
        <v>13.67</v>
      </c>
      <c r="K95" s="128">
        <v>0</v>
      </c>
      <c r="L95" s="128">
        <v>0</v>
      </c>
      <c r="M95" s="128">
        <v>1.25</v>
      </c>
    </row>
    <row r="96" spans="1:13">
      <c r="A96" s="128" t="s">
        <v>85</v>
      </c>
      <c r="B96" s="128">
        <v>0</v>
      </c>
      <c r="C96" s="128">
        <v>0</v>
      </c>
      <c r="D96" s="128">
        <v>0</v>
      </c>
      <c r="E96" s="128">
        <v>0</v>
      </c>
      <c r="F96" s="128">
        <v>0</v>
      </c>
      <c r="G96" s="128">
        <v>0</v>
      </c>
      <c r="H96" s="128">
        <v>0</v>
      </c>
      <c r="I96" s="128">
        <v>0</v>
      </c>
      <c r="J96" s="128">
        <v>0</v>
      </c>
      <c r="K96" s="128">
        <v>0</v>
      </c>
      <c r="L96" s="128">
        <v>0</v>
      </c>
      <c r="M96" s="128">
        <v>0</v>
      </c>
    </row>
    <row r="97" spans="1:13">
      <c r="A97" s="128" t="s">
        <v>86</v>
      </c>
      <c r="B97" s="128">
        <v>0</v>
      </c>
      <c r="C97" s="128">
        <v>0</v>
      </c>
      <c r="D97" s="128">
        <v>0</v>
      </c>
      <c r="E97" s="128">
        <v>0</v>
      </c>
      <c r="F97" s="128">
        <v>0</v>
      </c>
      <c r="G97" s="128">
        <v>0</v>
      </c>
      <c r="H97" s="128">
        <v>0</v>
      </c>
      <c r="I97" s="128">
        <v>0</v>
      </c>
      <c r="J97" s="128">
        <v>0</v>
      </c>
      <c r="K97" s="128">
        <v>0</v>
      </c>
      <c r="L97" s="128">
        <v>0</v>
      </c>
      <c r="M97" s="128">
        <v>0</v>
      </c>
    </row>
    <row r="98" spans="1:13">
      <c r="A98" s="128" t="s">
        <v>302</v>
      </c>
      <c r="B98" s="128">
        <v>0</v>
      </c>
      <c r="C98" s="128">
        <v>0</v>
      </c>
      <c r="D98" s="128">
        <v>0</v>
      </c>
      <c r="E98" s="128">
        <v>0</v>
      </c>
      <c r="F98" s="128">
        <v>0</v>
      </c>
      <c r="G98" s="128">
        <v>0</v>
      </c>
      <c r="H98" s="128">
        <v>0</v>
      </c>
      <c r="I98" s="128">
        <v>0</v>
      </c>
      <c r="J98" s="128">
        <v>0</v>
      </c>
      <c r="K98" s="128">
        <v>0</v>
      </c>
      <c r="L98" s="128">
        <v>0</v>
      </c>
      <c r="M98" s="128">
        <v>0</v>
      </c>
    </row>
    <row r="99" spans="1:13">
      <c r="A99" s="128" t="s">
        <v>88</v>
      </c>
      <c r="B99" s="128">
        <v>7163.94</v>
      </c>
      <c r="C99" s="128">
        <v>7961.73</v>
      </c>
      <c r="D99" s="128">
        <v>5074.05</v>
      </c>
      <c r="E99" s="128">
        <v>2708.3</v>
      </c>
      <c r="F99" s="128">
        <v>2975</v>
      </c>
      <c r="G99" s="128">
        <v>6945.4</v>
      </c>
      <c r="H99" s="128">
        <v>5740.35</v>
      </c>
      <c r="I99" s="128">
        <v>7000</v>
      </c>
      <c r="J99" s="128">
        <v>9347.68</v>
      </c>
      <c r="K99" s="128">
        <v>7725.4</v>
      </c>
      <c r="L99" s="128">
        <v>7142.19</v>
      </c>
      <c r="M99" s="128">
        <v>7068.4</v>
      </c>
    </row>
    <row r="100" spans="1:13">
      <c r="A100" s="128" t="s">
        <v>89</v>
      </c>
      <c r="B100" s="128">
        <v>1614.06</v>
      </c>
      <c r="C100" s="128">
        <v>2507.8000000000002</v>
      </c>
      <c r="D100" s="128">
        <v>1383.15</v>
      </c>
      <c r="E100" s="128">
        <v>-2699.9</v>
      </c>
      <c r="F100" s="128">
        <v>473.9</v>
      </c>
      <c r="G100" s="128">
        <v>-473.9</v>
      </c>
      <c r="H100" s="128">
        <v>-2374.64</v>
      </c>
      <c r="I100" s="128">
        <v>1139.52</v>
      </c>
      <c r="J100" s="128">
        <v>832.1</v>
      </c>
      <c r="K100" s="128">
        <v>939.24</v>
      </c>
      <c r="L100" s="128">
        <v>1355.13</v>
      </c>
      <c r="M100" s="128">
        <v>1158.3499999999999</v>
      </c>
    </row>
    <row r="101" spans="1:13">
      <c r="A101" s="128" t="s">
        <v>90</v>
      </c>
      <c r="B101" s="128">
        <v>3446.48</v>
      </c>
      <c r="C101" s="128">
        <v>3587.3</v>
      </c>
      <c r="D101" s="128">
        <v>3447.79</v>
      </c>
      <c r="E101" s="128">
        <v>463.05</v>
      </c>
      <c r="F101" s="128">
        <v>-311.14999999999998</v>
      </c>
      <c r="G101" s="128">
        <v>1745.1</v>
      </c>
      <c r="H101" s="128">
        <v>6077.64</v>
      </c>
      <c r="I101" s="128">
        <v>3712.41</v>
      </c>
      <c r="J101" s="128">
        <v>4578.05</v>
      </c>
      <c r="K101" s="128">
        <v>4171.13</v>
      </c>
      <c r="L101" s="128">
        <v>4236.17</v>
      </c>
      <c r="M101" s="128">
        <v>3853.02</v>
      </c>
    </row>
    <row r="102" spans="1:13">
      <c r="A102" s="128" t="s">
        <v>87</v>
      </c>
      <c r="B102" s="128">
        <v>2500</v>
      </c>
      <c r="C102" s="128">
        <v>0</v>
      </c>
      <c r="D102" s="128">
        <v>2500</v>
      </c>
      <c r="E102" s="128">
        <v>1417.5</v>
      </c>
      <c r="F102" s="128">
        <v>1125</v>
      </c>
      <c r="G102" s="128">
        <v>1507</v>
      </c>
      <c r="H102" s="128">
        <v>14703.04</v>
      </c>
      <c r="I102" s="128">
        <v>875</v>
      </c>
      <c r="J102" s="128">
        <v>3008.2</v>
      </c>
      <c r="K102" s="128">
        <v>2634.57</v>
      </c>
      <c r="L102" s="128">
        <v>1556</v>
      </c>
      <c r="M102" s="128">
        <v>100.75</v>
      </c>
    </row>
    <row r="103" spans="1:13">
      <c r="A103" s="128" t="s">
        <v>91</v>
      </c>
      <c r="B103" s="128">
        <v>8639.4500000000007</v>
      </c>
      <c r="C103" s="128">
        <v>8386.4599999999991</v>
      </c>
      <c r="D103" s="128">
        <v>8386.4599999999991</v>
      </c>
      <c r="E103" s="128">
        <v>8429.4699999999993</v>
      </c>
      <c r="F103" s="128">
        <v>8386.4599999999991</v>
      </c>
      <c r="G103" s="128">
        <v>8386.4599999999991</v>
      </c>
      <c r="H103" s="128">
        <v>8386.4599999999991</v>
      </c>
      <c r="I103" s="128">
        <v>8386.4599999999991</v>
      </c>
      <c r="J103" s="128">
        <v>8343.4599999999991</v>
      </c>
      <c r="K103" s="128">
        <v>8086.04</v>
      </c>
      <c r="L103" s="128">
        <v>1266.67</v>
      </c>
      <c r="M103" s="128">
        <v>6932.94</v>
      </c>
    </row>
    <row r="104" spans="1:13">
      <c r="A104" s="128" t="s">
        <v>304</v>
      </c>
      <c r="B104" s="128">
        <v>0</v>
      </c>
      <c r="C104" s="128">
        <v>0</v>
      </c>
      <c r="D104" s="128">
        <v>0</v>
      </c>
      <c r="E104" s="128">
        <v>0</v>
      </c>
      <c r="F104" s="128">
        <v>0</v>
      </c>
      <c r="G104" s="128">
        <v>0</v>
      </c>
      <c r="H104" s="128">
        <v>5716.4</v>
      </c>
      <c r="I104" s="128">
        <v>7209.99</v>
      </c>
      <c r="J104" s="128">
        <v>9119.3799999999992</v>
      </c>
      <c r="K104" s="128">
        <v>8595.39</v>
      </c>
      <c r="L104" s="128">
        <v>10424.629999999999</v>
      </c>
      <c r="M104" s="128">
        <v>16171.77</v>
      </c>
    </row>
    <row r="105" spans="1:13">
      <c r="A105" s="128" t="s">
        <v>92</v>
      </c>
      <c r="B105" s="128">
        <v>0</v>
      </c>
      <c r="C105" s="128">
        <v>0</v>
      </c>
      <c r="D105" s="128">
        <v>0</v>
      </c>
      <c r="E105" s="128">
        <v>1669</v>
      </c>
      <c r="F105" s="128">
        <v>0</v>
      </c>
      <c r="G105" s="128">
        <v>0</v>
      </c>
      <c r="H105" s="128">
        <v>0</v>
      </c>
      <c r="I105" s="128">
        <v>0</v>
      </c>
      <c r="J105" s="128">
        <v>0</v>
      </c>
      <c r="K105" s="128">
        <v>0</v>
      </c>
      <c r="L105" s="128">
        <v>1828.77</v>
      </c>
      <c r="M105" s="128">
        <v>0</v>
      </c>
    </row>
    <row r="106" spans="1:13">
      <c r="A106" s="128" t="s">
        <v>300</v>
      </c>
      <c r="B106" s="128">
        <v>18235.86</v>
      </c>
      <c r="C106" s="128">
        <v>17352.18</v>
      </c>
      <c r="D106" s="128">
        <v>6036.66</v>
      </c>
      <c r="E106" s="128">
        <v>0</v>
      </c>
      <c r="F106" s="128">
        <v>0</v>
      </c>
      <c r="G106" s="128">
        <v>0</v>
      </c>
      <c r="H106" s="128">
        <v>3791.4</v>
      </c>
      <c r="I106" s="128">
        <v>12040.5</v>
      </c>
      <c r="J106" s="128">
        <v>15052.08</v>
      </c>
      <c r="K106" s="128">
        <v>17837.5</v>
      </c>
      <c r="L106" s="128">
        <v>11424.31</v>
      </c>
      <c r="M106" s="128">
        <v>1437.32</v>
      </c>
    </row>
    <row r="107" spans="1:13">
      <c r="A107" s="128" t="s">
        <v>301</v>
      </c>
      <c r="B107" s="128">
        <v>0</v>
      </c>
      <c r="C107" s="128">
        <v>0</v>
      </c>
      <c r="D107" s="128">
        <v>0</v>
      </c>
      <c r="E107" s="128">
        <v>0</v>
      </c>
      <c r="F107" s="128">
        <v>0</v>
      </c>
      <c r="G107" s="128">
        <v>0</v>
      </c>
      <c r="H107" s="128">
        <v>0</v>
      </c>
      <c r="I107" s="128">
        <v>0</v>
      </c>
      <c r="J107" s="128">
        <v>0</v>
      </c>
      <c r="K107" s="128">
        <v>0</v>
      </c>
      <c r="L107" s="128">
        <v>0</v>
      </c>
      <c r="M107" s="128">
        <v>0</v>
      </c>
    </row>
    <row r="108" spans="1:13">
      <c r="A108" s="128" t="s">
        <v>93</v>
      </c>
      <c r="B108" s="128">
        <v>0</v>
      </c>
      <c r="C108" s="128">
        <v>0</v>
      </c>
      <c r="D108" s="128">
        <v>0</v>
      </c>
      <c r="E108" s="128">
        <v>0</v>
      </c>
      <c r="F108" s="128">
        <v>0</v>
      </c>
      <c r="G108" s="128">
        <v>0</v>
      </c>
      <c r="H108" s="128">
        <v>0</v>
      </c>
      <c r="I108" s="128">
        <v>0</v>
      </c>
      <c r="J108" s="128">
        <v>0</v>
      </c>
      <c r="K108" s="128">
        <v>0</v>
      </c>
      <c r="L108" s="128">
        <v>0</v>
      </c>
      <c r="M108" s="128">
        <v>0</v>
      </c>
    </row>
    <row r="109" spans="1:13">
      <c r="A109" s="3" t="s">
        <v>97</v>
      </c>
      <c r="B109" s="128">
        <v>0</v>
      </c>
      <c r="C109" s="128">
        <v>-2002.5</v>
      </c>
      <c r="D109" s="128">
        <v>0</v>
      </c>
      <c r="E109" s="128">
        <v>0</v>
      </c>
      <c r="F109" s="128">
        <v>0</v>
      </c>
      <c r="G109" s="128">
        <v>0</v>
      </c>
      <c r="H109" s="128">
        <v>0</v>
      </c>
      <c r="I109" s="128">
        <v>0</v>
      </c>
      <c r="J109" s="128">
        <v>0</v>
      </c>
      <c r="K109" s="128">
        <v>0</v>
      </c>
      <c r="L109" s="128">
        <v>2002.5</v>
      </c>
      <c r="M109" s="128">
        <v>0</v>
      </c>
    </row>
    <row r="110" spans="1:13">
      <c r="A110" s="3" t="s">
        <v>98</v>
      </c>
      <c r="B110" s="128">
        <v>-10899.75</v>
      </c>
      <c r="C110" s="128">
        <v>1367.83</v>
      </c>
      <c r="D110" s="128">
        <v>454.32</v>
      </c>
      <c r="E110" s="128">
        <v>0</v>
      </c>
      <c r="F110" s="128">
        <v>0</v>
      </c>
      <c r="G110" s="128">
        <v>0</v>
      </c>
      <c r="H110" s="128">
        <v>1429.8</v>
      </c>
      <c r="I110" s="128">
        <v>1062.81</v>
      </c>
      <c r="J110" s="128">
        <v>-1273.73</v>
      </c>
      <c r="K110" s="128">
        <v>402.64</v>
      </c>
      <c r="L110" s="128">
        <v>-49.17</v>
      </c>
      <c r="M110" s="128">
        <v>338.84</v>
      </c>
    </row>
    <row r="111" spans="1:13">
      <c r="A111" s="128" t="s">
        <v>94</v>
      </c>
      <c r="B111" s="128">
        <v>0</v>
      </c>
      <c r="C111" s="128">
        <v>0</v>
      </c>
      <c r="D111" s="128">
        <v>0</v>
      </c>
      <c r="E111" s="128">
        <v>0</v>
      </c>
      <c r="F111" s="128">
        <v>0</v>
      </c>
      <c r="G111" s="128">
        <v>0</v>
      </c>
      <c r="H111" s="128">
        <v>0</v>
      </c>
      <c r="I111" s="128">
        <v>0</v>
      </c>
      <c r="J111" s="128">
        <v>0</v>
      </c>
      <c r="K111" s="128">
        <v>0</v>
      </c>
      <c r="L111" s="128">
        <v>0</v>
      </c>
      <c r="M111" s="128">
        <v>0</v>
      </c>
    </row>
    <row r="112" spans="1:13">
      <c r="A112" s="128" t="s">
        <v>95</v>
      </c>
      <c r="B112" s="128">
        <v>0</v>
      </c>
      <c r="C112" s="128">
        <v>0</v>
      </c>
      <c r="D112" s="128">
        <v>0</v>
      </c>
      <c r="E112" s="128">
        <v>0</v>
      </c>
      <c r="F112" s="128">
        <v>0</v>
      </c>
      <c r="G112" s="128">
        <v>0</v>
      </c>
      <c r="H112" s="128">
        <v>0</v>
      </c>
      <c r="I112" s="128">
        <v>0</v>
      </c>
      <c r="J112" s="128">
        <v>0</v>
      </c>
      <c r="K112" s="128">
        <v>0</v>
      </c>
      <c r="L112" s="128">
        <v>0</v>
      </c>
      <c r="M112" s="128">
        <v>0</v>
      </c>
    </row>
    <row r="113" spans="2:14">
      <c r="B113" s="128">
        <f>SUM(B4:B13)-SUM(B14:B20)-SUM(B21:B104)+B105-SUM(B106:B112)</f>
        <v>-281829.69999999995</v>
      </c>
      <c r="C113" s="128">
        <f>SUM(C4:C13)-SUM(C14:C20)-SUM(C21:C104)+C105-SUM(C106:C112)</f>
        <v>-187235.69999999995</v>
      </c>
      <c r="D113" s="128">
        <f>SUM(D4:D13)-SUM(D14:D20)-SUM(D21:D104)+D105-SUM(D106:D112)</f>
        <v>-286769.80999999994</v>
      </c>
      <c r="E113" s="128">
        <f>SUM(E4:E13)-SUM(E14:E20)-SUM(E21:E104)+E105-SUM(E106:E112)</f>
        <v>-86373.440000000031</v>
      </c>
      <c r="F113" s="128">
        <f t="shared" ref="F113:M113" si="0">SUM(F4:F13)-SUM(F14:F20)-SUM(F21:F104)+F105-SUM(F106:F112)</f>
        <v>-51696.350000000013</v>
      </c>
      <c r="G113" s="128">
        <f t="shared" si="0"/>
        <v>-79401.350000000006</v>
      </c>
      <c r="H113" s="128">
        <f t="shared" si="0"/>
        <v>-70182.8</v>
      </c>
      <c r="I113" s="128">
        <f t="shared" si="0"/>
        <v>-9663.8000000000193</v>
      </c>
      <c r="J113" s="128">
        <f t="shared" si="0"/>
        <v>7428.3799999999228</v>
      </c>
      <c r="K113" s="128">
        <f t="shared" si="0"/>
        <v>-22721.210000000065</v>
      </c>
      <c r="L113" s="128">
        <f t="shared" si="0"/>
        <v>-92066.969999999885</v>
      </c>
      <c r="M113" s="128">
        <f t="shared" si="0"/>
        <v>-106693.31000000001</v>
      </c>
      <c r="N113" s="169"/>
    </row>
    <row r="114" spans="2:14">
      <c r="J114" s="128"/>
      <c r="K114" s="128"/>
      <c r="L114" s="128"/>
      <c r="M114" s="128"/>
    </row>
  </sheetData>
  <autoFilter ref="A2:N11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32"/>
  <sheetViews>
    <sheetView workbookViewId="0"/>
  </sheetViews>
  <sheetFormatPr defaultColWidth="12.109375" defaultRowHeight="14.4"/>
  <cols>
    <col min="1" max="1" width="31.6640625" style="3" bestFit="1" customWidth="1"/>
    <col min="2" max="2" width="10.33203125" style="3" customWidth="1"/>
    <col min="3" max="3" width="10.44140625" style="3" customWidth="1"/>
    <col min="4" max="4" width="11.109375" style="3" bestFit="1" customWidth="1"/>
    <col min="5" max="5" width="7" style="3" bestFit="1" customWidth="1"/>
    <col min="6" max="6" width="7.109375" style="3" bestFit="1" customWidth="1"/>
    <col min="7" max="7" width="14.109375" style="3" customWidth="1"/>
    <col min="8" max="8" width="16.6640625" style="3" bestFit="1" customWidth="1"/>
    <col min="9" max="9" width="10.5546875" style="3" bestFit="1" customWidth="1"/>
    <col min="10" max="10" width="10.6640625" style="3" bestFit="1" customWidth="1"/>
    <col min="11" max="11" width="13.44140625" style="3" bestFit="1" customWidth="1"/>
    <col min="12" max="12" width="13.5546875" style="3" bestFit="1" customWidth="1"/>
    <col min="13" max="13" width="4.33203125" style="3" customWidth="1"/>
    <col min="14" max="14" width="12.109375" style="3"/>
    <col min="15" max="18" width="12.109375" style="28" customWidth="1"/>
    <col min="19" max="19" width="9.44140625" style="28" bestFit="1" customWidth="1"/>
    <col min="20" max="20" width="8.33203125" style="28" bestFit="1" customWidth="1"/>
    <col min="21" max="21" width="3" style="3" customWidth="1"/>
    <col min="22" max="22" width="12.109375" style="3"/>
    <col min="23" max="24" width="10.44140625" style="3" customWidth="1"/>
    <col min="25" max="16384" width="12.109375" style="3"/>
  </cols>
  <sheetData>
    <row r="1" spans="1:24" s="22" customFormat="1" ht="53.25" customHeight="1" thickBot="1">
      <c r="A1" s="19" t="s">
        <v>23</v>
      </c>
      <c r="B1" s="20">
        <v>2021</v>
      </c>
      <c r="C1" s="20">
        <v>2020</v>
      </c>
      <c r="D1" s="20" t="s">
        <v>24</v>
      </c>
      <c r="E1" s="20" t="s">
        <v>25</v>
      </c>
      <c r="F1" s="20" t="s">
        <v>26</v>
      </c>
      <c r="G1" s="20" t="s">
        <v>27</v>
      </c>
      <c r="H1" s="20" t="s">
        <v>28</v>
      </c>
      <c r="I1" s="20" t="s">
        <v>29</v>
      </c>
      <c r="J1" s="20" t="s">
        <v>30</v>
      </c>
      <c r="K1" s="20" t="s">
        <v>31</v>
      </c>
      <c r="L1" s="21" t="s">
        <v>32</v>
      </c>
      <c r="N1" s="19" t="s">
        <v>35</v>
      </c>
      <c r="O1" s="23" t="s">
        <v>1</v>
      </c>
      <c r="P1" s="23" t="s">
        <v>114</v>
      </c>
      <c r="Q1" s="23" t="s">
        <v>115</v>
      </c>
      <c r="R1" s="23" t="s">
        <v>433</v>
      </c>
      <c r="S1" s="23" t="s">
        <v>34</v>
      </c>
      <c r="T1" s="24" t="s">
        <v>33</v>
      </c>
      <c r="V1" s="19" t="s">
        <v>36</v>
      </c>
      <c r="W1" s="20">
        <v>2021</v>
      </c>
      <c r="X1" s="21">
        <v>2020</v>
      </c>
    </row>
    <row r="2" spans="1:24">
      <c r="A2" s="16">
        <v>43466</v>
      </c>
      <c r="D2" s="3">
        <f>B2</f>
        <v>0</v>
      </c>
      <c r="G2" s="150">
        <f>IFERROR(+B2/E2,0)</f>
        <v>0</v>
      </c>
      <c r="H2" s="150">
        <f>IFERROR(+B2/F2,0)</f>
        <v>0</v>
      </c>
      <c r="I2" s="150">
        <f>+E2</f>
        <v>0</v>
      </c>
      <c r="J2" s="150">
        <f>+F2</f>
        <v>0</v>
      </c>
      <c r="K2" s="150">
        <f>IFERROR(+D2/I2,0)</f>
        <v>0</v>
      </c>
      <c r="L2" s="32">
        <f>IFERROR(+D2/J2,0)</f>
        <v>0</v>
      </c>
      <c r="N2" s="17">
        <v>43466</v>
      </c>
      <c r="S2" s="28">
        <f>IFERROR(AVERAGE(O2:R2),0)</f>
        <v>0</v>
      </c>
      <c r="T2" s="25">
        <f>IFERROR(S2/TEXT(N2,"mm"),0)</f>
        <v>0</v>
      </c>
      <c r="V2" s="16">
        <v>43466</v>
      </c>
      <c r="W2" s="151"/>
      <c r="X2" s="37"/>
    </row>
    <row r="3" spans="1:24">
      <c r="A3" s="17">
        <v>43497</v>
      </c>
      <c r="D3" s="3">
        <f>B3+D2</f>
        <v>0</v>
      </c>
      <c r="G3" s="150">
        <f t="shared" ref="G3:G13" si="0">IFERROR(+B3/E3,0)</f>
        <v>0</v>
      </c>
      <c r="H3" s="150">
        <f t="shared" ref="H3:H13" si="1">IFERROR(+B3/F3,0)</f>
        <v>0</v>
      </c>
      <c r="I3" s="150">
        <f>+I2+E3</f>
        <v>0</v>
      </c>
      <c r="J3" s="150">
        <f>+J2+F3</f>
        <v>0</v>
      </c>
      <c r="K3" s="150">
        <f>IFERROR(+D3/I3,0)</f>
        <v>0</v>
      </c>
      <c r="L3" s="32">
        <f t="shared" ref="L3:L13" si="2">IFERROR(+D3/J3,0)</f>
        <v>0</v>
      </c>
      <c r="N3" s="17">
        <v>43497</v>
      </c>
      <c r="S3" s="28">
        <f>IFERROR(AVERAGE(O3:R3)+S2,0)</f>
        <v>0</v>
      </c>
      <c r="T3" s="25">
        <f t="shared" ref="T3:T13" si="3">IFERROR(S3/TEXT(N3,"mm"),0)</f>
        <v>0</v>
      </c>
      <c r="V3" s="17">
        <v>43497</v>
      </c>
      <c r="W3" s="151"/>
      <c r="X3" s="37"/>
    </row>
    <row r="4" spans="1:24">
      <c r="A4" s="17">
        <v>43525</v>
      </c>
      <c r="D4" s="3">
        <f t="shared" ref="D4:D13" si="4">B4+D3</f>
        <v>0</v>
      </c>
      <c r="G4" s="150">
        <f t="shared" si="0"/>
        <v>0</v>
      </c>
      <c r="H4" s="150">
        <f t="shared" si="1"/>
        <v>0</v>
      </c>
      <c r="I4" s="150">
        <f t="shared" ref="I4:J13" si="5">+I3+E4</f>
        <v>0</v>
      </c>
      <c r="J4" s="150">
        <f t="shared" si="5"/>
        <v>0</v>
      </c>
      <c r="K4" s="150">
        <f t="shared" ref="K4:K13" si="6">IFERROR(+D4/I4,0)</f>
        <v>0</v>
      </c>
      <c r="L4" s="32">
        <f t="shared" si="2"/>
        <v>0</v>
      </c>
      <c r="N4" s="17">
        <v>43525</v>
      </c>
      <c r="S4" s="28">
        <f t="shared" ref="S4:S13" si="7">IFERROR(AVERAGE(O4:R4)+S3,0)</f>
        <v>0</v>
      </c>
      <c r="T4" s="25">
        <f t="shared" si="3"/>
        <v>0</v>
      </c>
      <c r="V4" s="17">
        <v>43525</v>
      </c>
      <c r="W4" s="151"/>
      <c r="X4" s="37"/>
    </row>
    <row r="5" spans="1:24">
      <c r="A5" s="17">
        <v>43556</v>
      </c>
      <c r="D5" s="3">
        <f t="shared" si="4"/>
        <v>0</v>
      </c>
      <c r="G5" s="150">
        <f t="shared" si="0"/>
        <v>0</v>
      </c>
      <c r="H5" s="150">
        <f t="shared" si="1"/>
        <v>0</v>
      </c>
      <c r="I5" s="150">
        <f t="shared" si="5"/>
        <v>0</v>
      </c>
      <c r="J5" s="150">
        <f t="shared" si="5"/>
        <v>0</v>
      </c>
      <c r="K5" s="150">
        <f t="shared" si="6"/>
        <v>0</v>
      </c>
      <c r="L5" s="32">
        <f t="shared" si="2"/>
        <v>0</v>
      </c>
      <c r="N5" s="17">
        <v>43556</v>
      </c>
      <c r="S5" s="28">
        <f t="shared" si="7"/>
        <v>0</v>
      </c>
      <c r="T5" s="25">
        <f t="shared" si="3"/>
        <v>0</v>
      </c>
      <c r="V5" s="17">
        <v>43556</v>
      </c>
      <c r="W5" s="151"/>
      <c r="X5" s="37"/>
    </row>
    <row r="6" spans="1:24">
      <c r="A6" s="17">
        <v>43586</v>
      </c>
      <c r="D6" s="3">
        <f t="shared" si="4"/>
        <v>0</v>
      </c>
      <c r="G6" s="150">
        <f t="shared" si="0"/>
        <v>0</v>
      </c>
      <c r="H6" s="150">
        <f t="shared" si="1"/>
        <v>0</v>
      </c>
      <c r="I6" s="150">
        <f t="shared" si="5"/>
        <v>0</v>
      </c>
      <c r="J6" s="150">
        <f t="shared" si="5"/>
        <v>0</v>
      </c>
      <c r="K6" s="150">
        <f t="shared" si="6"/>
        <v>0</v>
      </c>
      <c r="L6" s="32">
        <f t="shared" si="2"/>
        <v>0</v>
      </c>
      <c r="N6" s="17">
        <v>43586</v>
      </c>
      <c r="S6" s="28">
        <f t="shared" si="7"/>
        <v>0</v>
      </c>
      <c r="T6" s="25">
        <f t="shared" si="3"/>
        <v>0</v>
      </c>
      <c r="V6" s="17">
        <v>43586</v>
      </c>
      <c r="W6" s="151"/>
      <c r="X6" s="37"/>
    </row>
    <row r="7" spans="1:24">
      <c r="A7" s="17">
        <v>43617</v>
      </c>
      <c r="D7" s="3">
        <f t="shared" si="4"/>
        <v>0</v>
      </c>
      <c r="G7" s="150">
        <f t="shared" si="0"/>
        <v>0</v>
      </c>
      <c r="H7" s="150">
        <f t="shared" si="1"/>
        <v>0</v>
      </c>
      <c r="I7" s="150">
        <f t="shared" si="5"/>
        <v>0</v>
      </c>
      <c r="J7" s="150">
        <f t="shared" si="5"/>
        <v>0</v>
      </c>
      <c r="K7" s="150">
        <f t="shared" si="6"/>
        <v>0</v>
      </c>
      <c r="L7" s="32">
        <f t="shared" si="2"/>
        <v>0</v>
      </c>
      <c r="N7" s="17">
        <v>43617</v>
      </c>
      <c r="S7" s="28">
        <f t="shared" si="7"/>
        <v>0</v>
      </c>
      <c r="T7" s="25">
        <f t="shared" si="3"/>
        <v>0</v>
      </c>
      <c r="V7" s="17">
        <v>43617</v>
      </c>
      <c r="W7" s="151"/>
      <c r="X7" s="37"/>
    </row>
    <row r="8" spans="1:24">
      <c r="A8" s="17">
        <v>43647</v>
      </c>
      <c r="D8" s="3">
        <f t="shared" si="4"/>
        <v>0</v>
      </c>
      <c r="G8" s="150">
        <f t="shared" si="0"/>
        <v>0</v>
      </c>
      <c r="H8" s="150">
        <f t="shared" si="1"/>
        <v>0</v>
      </c>
      <c r="I8" s="150">
        <f t="shared" si="5"/>
        <v>0</v>
      </c>
      <c r="J8" s="150">
        <f t="shared" si="5"/>
        <v>0</v>
      </c>
      <c r="K8" s="150">
        <f t="shared" si="6"/>
        <v>0</v>
      </c>
      <c r="L8" s="32">
        <f t="shared" si="2"/>
        <v>0</v>
      </c>
      <c r="N8" s="17">
        <v>43647</v>
      </c>
      <c r="S8" s="28">
        <f t="shared" si="7"/>
        <v>0</v>
      </c>
      <c r="T8" s="25">
        <f t="shared" si="3"/>
        <v>0</v>
      </c>
      <c r="V8" s="17">
        <v>43647</v>
      </c>
      <c r="W8" s="151"/>
      <c r="X8" s="37"/>
    </row>
    <row r="9" spans="1:24">
      <c r="A9" s="17">
        <v>43678</v>
      </c>
      <c r="D9" s="3">
        <f t="shared" si="4"/>
        <v>0</v>
      </c>
      <c r="G9" s="150">
        <f t="shared" si="0"/>
        <v>0</v>
      </c>
      <c r="H9" s="150">
        <f t="shared" si="1"/>
        <v>0</v>
      </c>
      <c r="I9" s="150">
        <f t="shared" si="5"/>
        <v>0</v>
      </c>
      <c r="J9" s="150">
        <f t="shared" si="5"/>
        <v>0</v>
      </c>
      <c r="K9" s="150">
        <f t="shared" si="6"/>
        <v>0</v>
      </c>
      <c r="L9" s="32">
        <f t="shared" si="2"/>
        <v>0</v>
      </c>
      <c r="N9" s="17">
        <v>43678</v>
      </c>
      <c r="S9" s="28">
        <f t="shared" si="7"/>
        <v>0</v>
      </c>
      <c r="T9" s="25">
        <f t="shared" si="3"/>
        <v>0</v>
      </c>
      <c r="V9" s="17">
        <v>43678</v>
      </c>
      <c r="W9" s="151"/>
      <c r="X9" s="37"/>
    </row>
    <row r="10" spans="1:24">
      <c r="A10" s="17">
        <v>43709</v>
      </c>
      <c r="D10" s="3">
        <f t="shared" si="4"/>
        <v>0</v>
      </c>
      <c r="G10" s="150">
        <f t="shared" si="0"/>
        <v>0</v>
      </c>
      <c r="H10" s="150">
        <f t="shared" si="1"/>
        <v>0</v>
      </c>
      <c r="I10" s="150">
        <f t="shared" si="5"/>
        <v>0</v>
      </c>
      <c r="J10" s="150">
        <f t="shared" si="5"/>
        <v>0</v>
      </c>
      <c r="K10" s="150">
        <f t="shared" si="6"/>
        <v>0</v>
      </c>
      <c r="L10" s="32">
        <f t="shared" si="2"/>
        <v>0</v>
      </c>
      <c r="N10" s="17">
        <v>43709</v>
      </c>
      <c r="S10" s="28">
        <f t="shared" si="7"/>
        <v>0</v>
      </c>
      <c r="T10" s="25">
        <f t="shared" si="3"/>
        <v>0</v>
      </c>
      <c r="V10" s="17">
        <v>43709</v>
      </c>
      <c r="W10" s="151"/>
      <c r="X10" s="37"/>
    </row>
    <row r="11" spans="1:24">
      <c r="A11" s="17">
        <v>43739</v>
      </c>
      <c r="D11" s="3">
        <f t="shared" si="4"/>
        <v>0</v>
      </c>
      <c r="G11" s="150">
        <f t="shared" si="0"/>
        <v>0</v>
      </c>
      <c r="H11" s="150">
        <f t="shared" si="1"/>
        <v>0</v>
      </c>
      <c r="I11" s="150">
        <f t="shared" si="5"/>
        <v>0</v>
      </c>
      <c r="J11" s="150">
        <f t="shared" si="5"/>
        <v>0</v>
      </c>
      <c r="K11" s="150">
        <f t="shared" si="6"/>
        <v>0</v>
      </c>
      <c r="L11" s="32">
        <f t="shared" si="2"/>
        <v>0</v>
      </c>
      <c r="N11" s="17">
        <v>43739</v>
      </c>
      <c r="S11" s="28">
        <f t="shared" si="7"/>
        <v>0</v>
      </c>
      <c r="T11" s="25">
        <f t="shared" si="3"/>
        <v>0</v>
      </c>
      <c r="V11" s="17">
        <v>43739</v>
      </c>
      <c r="W11" s="151"/>
      <c r="X11" s="37"/>
    </row>
    <row r="12" spans="1:24">
      <c r="A12" s="17">
        <v>43770</v>
      </c>
      <c r="D12" s="3">
        <f t="shared" si="4"/>
        <v>0</v>
      </c>
      <c r="G12" s="150">
        <f t="shared" si="0"/>
        <v>0</v>
      </c>
      <c r="H12" s="150">
        <f t="shared" si="1"/>
        <v>0</v>
      </c>
      <c r="I12" s="150">
        <f t="shared" si="5"/>
        <v>0</v>
      </c>
      <c r="J12" s="150">
        <f t="shared" si="5"/>
        <v>0</v>
      </c>
      <c r="K12" s="150">
        <f t="shared" si="6"/>
        <v>0</v>
      </c>
      <c r="L12" s="32">
        <f t="shared" si="2"/>
        <v>0</v>
      </c>
      <c r="N12" s="17">
        <v>43770</v>
      </c>
      <c r="S12" s="28">
        <f t="shared" si="7"/>
        <v>0</v>
      </c>
      <c r="T12" s="25">
        <f t="shared" si="3"/>
        <v>0</v>
      </c>
      <c r="V12" s="17">
        <v>43770</v>
      </c>
      <c r="W12" s="151"/>
      <c r="X12" s="37"/>
    </row>
    <row r="13" spans="1:24" ht="15" thickBot="1">
      <c r="A13" s="18">
        <v>43800</v>
      </c>
      <c r="B13" s="13"/>
      <c r="C13" s="13"/>
      <c r="D13" s="13">
        <f t="shared" si="4"/>
        <v>0</v>
      </c>
      <c r="E13" s="13"/>
      <c r="F13" s="13"/>
      <c r="G13" s="35">
        <f t="shared" si="0"/>
        <v>0</v>
      </c>
      <c r="H13" s="35">
        <f t="shared" si="1"/>
        <v>0</v>
      </c>
      <c r="I13" s="35">
        <f t="shared" si="5"/>
        <v>0</v>
      </c>
      <c r="J13" s="35">
        <f t="shared" si="5"/>
        <v>0</v>
      </c>
      <c r="K13" s="35">
        <f t="shared" si="6"/>
        <v>0</v>
      </c>
      <c r="L13" s="36">
        <f t="shared" si="2"/>
        <v>0</v>
      </c>
      <c r="N13" s="18">
        <v>43800</v>
      </c>
      <c r="O13" s="26"/>
      <c r="P13" s="26"/>
      <c r="Q13" s="26"/>
      <c r="R13" s="26"/>
      <c r="S13" s="26">
        <f t="shared" si="7"/>
        <v>0</v>
      </c>
      <c r="T13" s="27">
        <f t="shared" si="3"/>
        <v>0</v>
      </c>
      <c r="V13" s="18">
        <v>43800</v>
      </c>
      <c r="W13" s="38"/>
      <c r="X13" s="39"/>
    </row>
    <row r="15" spans="1:24" ht="15" thickBot="1"/>
    <row r="16" spans="1:24" ht="15" thickBot="1">
      <c r="A16" s="15" t="s">
        <v>37</v>
      </c>
      <c r="B16" s="33">
        <v>2021</v>
      </c>
      <c r="C16" s="34">
        <v>2020</v>
      </c>
    </row>
    <row r="17" spans="1:20">
      <c r="A17" s="29" t="s">
        <v>240</v>
      </c>
      <c r="C17" s="12"/>
    </row>
    <row r="18" spans="1:20">
      <c r="A18" s="29" t="s">
        <v>339</v>
      </c>
      <c r="C18" s="12"/>
    </row>
    <row r="19" spans="1:20">
      <c r="A19" s="29" t="s">
        <v>241</v>
      </c>
      <c r="C19" s="12"/>
    </row>
    <row r="20" spans="1:20">
      <c r="A20" s="29" t="s">
        <v>242</v>
      </c>
      <c r="C20" s="12"/>
      <c r="O20" s="3"/>
      <c r="P20" s="3"/>
      <c r="Q20" s="3"/>
      <c r="R20" s="3"/>
      <c r="S20" s="3"/>
      <c r="T20" s="3"/>
    </row>
    <row r="21" spans="1:20" ht="15" thickBot="1">
      <c r="A21" s="30" t="s">
        <v>364</v>
      </c>
      <c r="B21" s="13"/>
      <c r="C21" s="14"/>
      <c r="O21" s="3"/>
      <c r="P21" s="3"/>
      <c r="Q21" s="3"/>
      <c r="R21" s="3"/>
      <c r="S21" s="3"/>
      <c r="T21" s="3"/>
    </row>
    <row r="22" spans="1:20" ht="15" thickBot="1">
      <c r="O22" s="3"/>
      <c r="P22" s="3"/>
      <c r="Q22" s="3"/>
      <c r="R22" s="3"/>
      <c r="S22" s="3"/>
      <c r="T22" s="3"/>
    </row>
    <row r="23" spans="1:20" ht="15" thickBot="1">
      <c r="B23" s="33">
        <v>2021</v>
      </c>
      <c r="C23" s="34">
        <v>2020</v>
      </c>
      <c r="O23" s="3"/>
      <c r="P23" s="3"/>
      <c r="Q23" s="3"/>
      <c r="R23" s="3"/>
      <c r="S23" s="3"/>
      <c r="T23" s="3"/>
    </row>
    <row r="24" spans="1:20">
      <c r="A24" s="31" t="s">
        <v>23</v>
      </c>
      <c r="B24" s="152"/>
      <c r="C24" s="153"/>
      <c r="O24" s="3"/>
      <c r="P24" s="3"/>
      <c r="Q24" s="3"/>
      <c r="R24" s="3"/>
      <c r="S24" s="3"/>
      <c r="T24" s="3"/>
    </row>
    <row r="25" spans="1:20">
      <c r="A25" s="29" t="s">
        <v>243</v>
      </c>
      <c r="B25" s="154"/>
      <c r="C25" s="155"/>
      <c r="O25" s="3"/>
      <c r="P25" s="3"/>
      <c r="Q25" s="3"/>
      <c r="R25" s="3"/>
      <c r="S25" s="3"/>
      <c r="T25" s="3"/>
    </row>
    <row r="26" spans="1:20">
      <c r="A26" s="29" t="s">
        <v>244</v>
      </c>
      <c r="B26" s="154"/>
      <c r="C26" s="155"/>
      <c r="O26" s="3"/>
      <c r="P26" s="3"/>
      <c r="Q26" s="3"/>
      <c r="R26" s="3"/>
      <c r="S26" s="3"/>
      <c r="T26" s="3"/>
    </row>
    <row r="27" spans="1:20" ht="16.5" customHeight="1">
      <c r="A27" s="29" t="s">
        <v>36</v>
      </c>
      <c r="B27" s="154"/>
      <c r="C27" s="155"/>
      <c r="O27" s="3"/>
      <c r="P27" s="3"/>
      <c r="Q27" s="3"/>
      <c r="R27" s="3"/>
      <c r="S27" s="3"/>
      <c r="T27" s="3"/>
    </row>
    <row r="28" spans="1:20">
      <c r="A28" s="29" t="s">
        <v>38</v>
      </c>
      <c r="B28" s="154"/>
      <c r="C28" s="155"/>
      <c r="O28" s="3"/>
      <c r="P28" s="3"/>
      <c r="Q28" s="3"/>
      <c r="R28" s="3"/>
      <c r="S28" s="3"/>
      <c r="T28" s="3"/>
    </row>
    <row r="29" spans="1:20">
      <c r="A29" s="29" t="s">
        <v>39</v>
      </c>
      <c r="B29" s="154"/>
      <c r="C29" s="155"/>
      <c r="O29" s="3"/>
      <c r="P29" s="3"/>
      <c r="Q29" s="3"/>
      <c r="R29" s="3"/>
      <c r="S29" s="3"/>
      <c r="T29" s="3"/>
    </row>
    <row r="30" spans="1:20" ht="15" thickBot="1">
      <c r="A30" s="30" t="s">
        <v>2</v>
      </c>
      <c r="B30" s="156"/>
      <c r="C30" s="157"/>
      <c r="O30" s="3"/>
      <c r="P30" s="3"/>
      <c r="Q30" s="3"/>
      <c r="R30" s="3"/>
      <c r="S30" s="3"/>
      <c r="T30" s="3"/>
    </row>
    <row r="31" spans="1:20">
      <c r="O31" s="3"/>
      <c r="P31" s="3"/>
      <c r="Q31" s="3"/>
      <c r="R31" s="3"/>
      <c r="S31" s="3"/>
      <c r="T31" s="3"/>
    </row>
    <row r="32" spans="1:20">
      <c r="O32" s="3"/>
      <c r="P32" s="3"/>
      <c r="Q32" s="3"/>
      <c r="R32" s="3"/>
      <c r="S32" s="3"/>
      <c r="T32" s="3"/>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E13"/>
  <sheetViews>
    <sheetView workbookViewId="0"/>
  </sheetViews>
  <sheetFormatPr defaultRowHeight="14.4"/>
  <cols>
    <col min="1" max="1" width="4.33203125" style="3" customWidth="1"/>
    <col min="2" max="2" width="6.109375" customWidth="1"/>
    <col min="3" max="3" width="53.109375" customWidth="1"/>
  </cols>
  <sheetData>
    <row r="1" spans="1:5">
      <c r="A1" s="3" t="s">
        <v>17</v>
      </c>
      <c r="B1" s="5"/>
      <c r="C1" s="5"/>
      <c r="D1" s="5"/>
      <c r="E1" s="5"/>
    </row>
    <row r="2" spans="1:5" ht="35.25" customHeight="1">
      <c r="B2" s="349"/>
      <c r="C2" s="349"/>
      <c r="D2" s="5"/>
      <c r="E2" s="6"/>
    </row>
    <row r="3" spans="1:5" ht="20.25" customHeight="1">
      <c r="B3" s="350"/>
      <c r="C3" s="350"/>
      <c r="D3" s="5"/>
      <c r="E3" s="6"/>
    </row>
    <row r="4" spans="1:5">
      <c r="B4" s="5"/>
      <c r="C4" s="5"/>
      <c r="D4" s="5"/>
      <c r="E4" s="5"/>
    </row>
    <row r="5" spans="1:5" ht="20.25" customHeight="1">
      <c r="B5" s="347" t="s">
        <v>18</v>
      </c>
      <c r="C5" s="348"/>
      <c r="D5" s="5"/>
      <c r="E5" s="5"/>
    </row>
    <row r="6" spans="1:5">
      <c r="B6" s="7"/>
      <c r="C6" s="7"/>
      <c r="D6" s="5"/>
      <c r="E6" s="5"/>
    </row>
    <row r="7" spans="1:5">
      <c r="B7" s="8">
        <v>1</v>
      </c>
      <c r="C7" s="11" t="s">
        <v>22</v>
      </c>
      <c r="D7" s="5"/>
      <c r="E7" s="5"/>
    </row>
    <row r="8" spans="1:5">
      <c r="B8" s="5"/>
      <c r="C8" s="5"/>
      <c r="D8" s="5"/>
      <c r="E8" s="5"/>
    </row>
    <row r="9" spans="1:5" s="3" customFormat="1" ht="53.25" customHeight="1">
      <c r="B9" s="5"/>
      <c r="C9" s="5"/>
      <c r="D9" s="5"/>
      <c r="E9" s="5"/>
    </row>
    <row r="10" spans="1:5" ht="39" customHeight="1">
      <c r="B10" s="351"/>
      <c r="C10" s="351"/>
      <c r="D10" s="5"/>
      <c r="E10" s="5"/>
    </row>
    <row r="11" spans="1:5" ht="18" customHeight="1">
      <c r="B11" s="9" t="s">
        <v>19</v>
      </c>
      <c r="C11" s="5"/>
      <c r="D11" s="5"/>
      <c r="E11" s="5"/>
    </row>
    <row r="12" spans="1:5">
      <c r="B12" s="10" t="s">
        <v>20</v>
      </c>
      <c r="C12" s="5"/>
      <c r="D12" s="5"/>
      <c r="E12" s="5"/>
    </row>
    <row r="13" spans="1:5">
      <c r="B13" s="10" t="s">
        <v>21</v>
      </c>
      <c r="C13" s="5"/>
      <c r="D13" s="5"/>
      <c r="E13" s="5"/>
    </row>
  </sheetData>
  <mergeCells count="4">
    <mergeCell ref="B5:C5"/>
    <mergeCell ref="B2:C2"/>
    <mergeCell ref="B3:C3"/>
    <mergeCell ref="B10:C10"/>
  </mergeCells>
  <pageMargins left="0.7" right="0.7" top="0.75" bottom="0.75" header="0.3" footer="0.3"/>
  <pageSetup paperSize="9"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C12"/>
  <sheetViews>
    <sheetView workbookViewId="0"/>
  </sheetViews>
  <sheetFormatPr defaultRowHeight="14.4"/>
  <cols>
    <col min="1" max="1" width="14" customWidth="1"/>
    <col min="2" max="2" width="12.44140625" customWidth="1"/>
  </cols>
  <sheetData>
    <row r="1" spans="1:3">
      <c r="A1" s="4">
        <v>44197</v>
      </c>
      <c r="B1" s="4">
        <v>44227</v>
      </c>
      <c r="C1" t="s">
        <v>5</v>
      </c>
    </row>
    <row r="2" spans="1:3">
      <c r="A2" s="4">
        <v>44228</v>
      </c>
      <c r="B2" s="4">
        <v>44255</v>
      </c>
      <c r="C2" t="s">
        <v>6</v>
      </c>
    </row>
    <row r="3" spans="1:3">
      <c r="A3" s="4">
        <v>44256</v>
      </c>
      <c r="B3" s="4">
        <v>44286</v>
      </c>
      <c r="C3" t="s">
        <v>7</v>
      </c>
    </row>
    <row r="4" spans="1:3">
      <c r="A4" s="4">
        <v>44287</v>
      </c>
      <c r="B4" s="4">
        <v>44316</v>
      </c>
      <c r="C4" t="s">
        <v>8</v>
      </c>
    </row>
    <row r="5" spans="1:3">
      <c r="A5" s="4">
        <v>44317</v>
      </c>
      <c r="B5" s="4">
        <v>44347</v>
      </c>
      <c r="C5" t="s">
        <v>9</v>
      </c>
    </row>
    <row r="6" spans="1:3">
      <c r="A6" s="4">
        <v>44348</v>
      </c>
      <c r="B6" s="4">
        <v>44377</v>
      </c>
      <c r="C6" t="s">
        <v>10</v>
      </c>
    </row>
    <row r="7" spans="1:3">
      <c r="A7" s="4">
        <v>44378</v>
      </c>
      <c r="B7" s="4">
        <v>44408</v>
      </c>
      <c r="C7" t="s">
        <v>11</v>
      </c>
    </row>
    <row r="8" spans="1:3">
      <c r="A8" s="4">
        <v>44409</v>
      </c>
      <c r="B8" s="4">
        <v>44439</v>
      </c>
      <c r="C8" t="s">
        <v>12</v>
      </c>
    </row>
    <row r="9" spans="1:3">
      <c r="A9" s="4">
        <v>44440</v>
      </c>
      <c r="B9" s="4">
        <v>44469</v>
      </c>
      <c r="C9" t="s">
        <v>13</v>
      </c>
    </row>
    <row r="10" spans="1:3">
      <c r="A10" s="4">
        <v>44470</v>
      </c>
      <c r="B10" s="4">
        <v>44500</v>
      </c>
      <c r="C10" t="s">
        <v>14</v>
      </c>
    </row>
    <row r="11" spans="1:3">
      <c r="A11" s="4">
        <v>44501</v>
      </c>
      <c r="B11" s="4">
        <v>44530</v>
      </c>
      <c r="C11" t="s">
        <v>15</v>
      </c>
    </row>
    <row r="12" spans="1:3">
      <c r="A12" s="4">
        <v>44531</v>
      </c>
      <c r="B12" s="4">
        <v>44561</v>
      </c>
      <c r="C12" t="s">
        <v>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--Schedule Master--</vt:lpstr>
      <vt:lpstr>--Item Master--</vt:lpstr>
      <vt:lpstr>--Balance Sheet--</vt:lpstr>
      <vt:lpstr>--Budget Current Year--</vt:lpstr>
      <vt:lpstr>--Projection Current Year--</vt:lpstr>
      <vt:lpstr>Application Info</vt:lpstr>
      <vt:lpstr>--Achieved Forcast Template--</vt:lpstr>
      <vt:lpstr>--Company Master--</vt:lpstr>
      <vt:lpstr>--P&amp;L Last Year--</vt:lpstr>
      <vt:lpstr>--Analysis 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Juber M. Ganja</dc:creator>
  <cp:lastModifiedBy>admin</cp:lastModifiedBy>
  <cp:lastPrinted>2019-06-20T12:18:20Z</cp:lastPrinted>
  <dcterms:created xsi:type="dcterms:W3CDTF">2016-04-01T07:57:58Z</dcterms:created>
  <dcterms:modified xsi:type="dcterms:W3CDTF">2024-10-16T19:49:02Z</dcterms:modified>
</cp:coreProperties>
</file>